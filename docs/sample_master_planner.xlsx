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garan &amp; Alokasi" sheetId="1" state="visible" r:id="rId1"/>
    <sheet name="Direktori Vendor &amp; PIC" sheetId="2" state="visible" r:id="rId2"/>
    <sheet name="Rundown &amp; Timeline" sheetId="3" state="visible" r:id="rId3"/>
    <sheet name="Kalkulator Katering" sheetId="4" state="visible" r:id="rId4"/>
    <sheet name="Checklist Logistik &amp; Al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p &quot; #,##0"/>
    <numFmt numFmtId="165" formatCode="0.0%"/>
    <numFmt numFmtId="166" formatCode="0.0 &quot;★&quot;"/>
    <numFmt numFmtId="167" formatCode="#,##0&quot; HARI LAGI&quot;"/>
    <numFmt numFmtId="168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1F3B"/>
      <sz val="10"/>
    </font>
    <font>
      <name val="Calibri"/>
      <b val="1"/>
      <color rgb="00856404"/>
      <sz val="9"/>
    </font>
    <font>
      <name val="Calibri"/>
      <b val="1"/>
      <color rgb="000F5132"/>
      <sz val="9"/>
    </font>
    <font>
      <name val="Calibri"/>
      <b val="1"/>
      <color rgb="001B1F3B"/>
      <sz val="9"/>
    </font>
    <font>
      <name val="Calibri"/>
      <b val="1"/>
      <color rgb="004B4F72"/>
      <sz val="9"/>
    </font>
    <font>
      <name val="Calibri"/>
      <b val="1"/>
      <color rgb="001B1F3B"/>
      <sz val="15"/>
    </font>
    <font>
      <name val="Calibri"/>
      <color rgb="001B1F3B"/>
      <sz val="10"/>
    </font>
    <font>
      <name val="Calibri"/>
      <b val="1"/>
      <color rgb="00FFFFFF"/>
      <sz val="10"/>
    </font>
    <font>
      <name val="Calibri"/>
      <i val="1"/>
      <color rgb="004B4F72"/>
      <sz val="9"/>
    </font>
    <font>
      <name val="Calibri"/>
      <color rgb="000000EE"/>
      <sz val="10"/>
      <u val="single"/>
    </font>
  </fonts>
  <fills count="11">
    <fill>
      <patternFill/>
    </fill>
    <fill>
      <patternFill patternType="gray125"/>
    </fill>
    <fill>
      <patternFill patternType="solid">
        <fgColor rgb="001B1F3B"/>
        <bgColor rgb="001B1F3B"/>
      </patternFill>
    </fill>
    <fill>
      <patternFill patternType="solid">
        <fgColor rgb="00FFF2CC"/>
        <bgColor rgb="00FFF2CC"/>
      </patternFill>
    </fill>
    <fill>
      <patternFill patternType="solid">
        <fgColor rgb="00D1E7DD"/>
        <bgColor rgb="00D1E7DD"/>
      </patternFill>
    </fill>
    <fill>
      <patternFill patternType="solid">
        <fgColor rgb="00F5EFE0"/>
        <bgColor rgb="00F5EFE0"/>
      </patternFill>
    </fill>
    <fill>
      <patternFill patternType="solid">
        <fgColor rgb="00F8FAF6"/>
        <bgColor rgb="00F8FAF6"/>
      </patternFill>
    </fill>
    <fill>
      <patternFill patternType="solid">
        <fgColor rgb="00FFF3CD"/>
        <bgColor rgb="00FFF3CD"/>
      </patternFill>
    </fill>
    <fill>
      <patternFill patternType="solid">
        <fgColor rgb="00D9A441"/>
        <bgColor rgb="00D9A441"/>
      </patternFill>
    </fill>
    <fill>
      <patternFill patternType="solid">
        <fgColor rgb="00B23A5D"/>
        <bgColor rgb="00B23A5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5" fontId="2" fillId="6" borderId="1" pivotButton="0" quotePrefix="0" xfId="0"/>
    <xf numFmtId="3" fontId="2" fillId="6" borderId="1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68" fontId="2" fillId="3" borderId="1" pivotButton="0" quotePrefix="0" xfId="0"/>
    <xf numFmtId="9" fontId="2" fillId="3" borderId="1" pivotButton="0" quotePrefix="0" xfId="0"/>
    <xf numFmtId="3" fontId="2" fillId="4" borderId="1" pivotButton="0" quotePrefix="0" xfId="0"/>
    <xf numFmtId="9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3" borderId="1" pivotButton="0" quotePrefix="0" xfId="0"/>
    <xf numFmtId="164" fontId="2" fillId="4" borderId="1" pivotButton="0" quotePrefix="0" xfId="0"/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842029"/>
      </font>
      <fill>
        <patternFill patternType="solid">
          <fgColor rgb="00F8D7DA"/>
          <bgColor rgb="00F8D7DA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a.me/6281233441101" TargetMode="External" Id="rId1" /><Relationship Type="http://schemas.openxmlformats.org/officeDocument/2006/relationships/hyperlink" Target="https://wa.me/6281233441102" TargetMode="External" Id="rId2" /><Relationship Type="http://schemas.openxmlformats.org/officeDocument/2006/relationships/hyperlink" Target="https://wa.me/6281233441103" TargetMode="External" Id="rId3" /><Relationship Type="http://schemas.openxmlformats.org/officeDocument/2006/relationships/hyperlink" Target="https://wa.me/6281388991122" TargetMode="External" Id="rId4" /><Relationship Type="http://schemas.openxmlformats.org/officeDocument/2006/relationships/hyperlink" Target="https://wa.me/628123344110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4" customWidth="1" min="1" max="1"/>
    <col width="224" customWidth="1" min="2" max="2"/>
    <col width="25" customWidth="1" min="3" max="3"/>
    <col width="24" customWidth="1" min="4" max="4"/>
    <col width="40" customWidth="1" min="5" max="5"/>
    <col width="30" customWidth="1" min="6" max="6"/>
    <col width="27" customWidth="1" min="7" max="7"/>
    <col width="126" customWidth="1" min="8" max="8"/>
    <col width="45" customWidth="1" min="9" max="9"/>
    <col width="22" customWidth="1" min="10" max="10"/>
    <col width="27" customWidth="1" min="11" max="11"/>
    <col width="23" customWidth="1" min="12" max="12"/>
    <col width="96" customWidth="1" min="13" max="13"/>
    <col width="23" customWidth="1" min="14" max="14"/>
  </cols>
  <sheetData>
    <row r="1" ht="36" customHeight="1">
      <c r="A1" s="1" t="inlineStr">
        <is>
          <t>VENDORAMA - MASTER FINANCIAL &amp; BUDGET PLANNER: PERNIKAHAN ANDI &amp; LARAS</t>
        </is>
      </c>
    </row>
    <row r="2" ht="20" customHeight="1">
      <c r="A2" s="2" t="inlineStr">
        <is>
          <t>LEGENDA:</t>
        </is>
      </c>
      <c r="B2" s="3" t="inlineStr">
        <is>
          <t>KOLOM KUNING = INPUT EDITABLE (Bisa Diubah)</t>
        </is>
      </c>
      <c r="E2" s="4" t="inlineStr">
        <is>
          <t>KOLOM HIJAU/PUTIH = FORMULA OTOMATIS</t>
        </is>
      </c>
      <c r="H2" s="5" t="inlineStr">
        <is>
          <t>STATUS PEMBAYARAN = KLIK DROPDOWN UNTUK MENGUBAH</t>
        </is>
      </c>
    </row>
    <row r="3"/>
    <row r="4">
      <c r="A4" s="6" t="inlineStr">
        <is>
          <t>PAGU ANGGARAN PLAFON</t>
        </is>
      </c>
      <c r="B4" s="7" t="n"/>
      <c r="C4" s="8" t="inlineStr">
        <is>
          <t>TOTAL REALISASI BIAYA</t>
        </is>
      </c>
      <c r="D4" s="7" t="n"/>
      <c r="E4" s="9" t="inlineStr">
        <is>
          <t>SISA SALDO / SURPLUS</t>
        </is>
      </c>
      <c r="F4" s="7" t="n"/>
      <c r="G4" s="8" t="inlineStr">
        <is>
          <t>TINGKAT SERAPAN (%)</t>
        </is>
      </c>
      <c r="H4" s="7" t="n"/>
      <c r="I4" s="6" t="inlineStr">
        <is>
          <t>BIAYA PER TAMU (COST/PAX)</t>
        </is>
      </c>
      <c r="J4" s="7" t="n"/>
      <c r="K4" s="9" t="inlineStr">
        <is>
          <t>TOTAL DANA TERBAYAR</t>
        </is>
      </c>
      <c r="L4" s="7" t="n"/>
      <c r="M4" s="8" t="inlineStr">
        <is>
          <t>SISA KEWAJIBAN PELUNASAN</t>
        </is>
      </c>
      <c r="N4" s="7" t="n"/>
    </row>
    <row r="5">
      <c r="A5" s="10" t="n">
        <v>80000000</v>
      </c>
      <c r="B5" s="7" t="n"/>
      <c r="C5" s="11">
        <f>SUM(F15:F19)</f>
        <v/>
      </c>
      <c r="D5" s="7" t="n"/>
      <c r="E5" s="12">
        <f>A5-C5</f>
        <v/>
      </c>
      <c r="F5" s="7" t="n"/>
      <c r="G5" s="13">
        <f>C5/A5</f>
        <v/>
      </c>
      <c r="H5" s="7" t="n"/>
      <c r="I5" s="10">
        <f>ROUND(C5/'Kalkulator Katering'!$B$12, 0)</f>
        <v/>
      </c>
      <c r="J5" s="7" t="n"/>
      <c r="K5" s="12">
        <f>SUM(M15:M19)</f>
        <v/>
      </c>
      <c r="L5" s="7" t="n"/>
      <c r="M5" s="11">
        <f>C5-K5</f>
        <v/>
      </c>
      <c r="N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/>
    <row r="8">
      <c r="A8" s="2" t="inlineStr">
        <is>
          <t>Kategori Acara</t>
        </is>
      </c>
      <c r="B8" s="14" t="inlineStr">
        <is>
          <t>Pernikahan (Wedding)</t>
        </is>
      </c>
      <c r="D8" s="2" t="inlineStr">
        <is>
          <t>Kota / Lokasi</t>
        </is>
      </c>
      <c r="E8" s="14" t="inlineStr">
        <is>
          <t>Jakarta</t>
        </is>
      </c>
      <c r="G8" s="2" t="inlineStr">
        <is>
          <t>Status Kurasi</t>
        </is>
      </c>
      <c r="H8" s="14" t="inlineStr">
        <is>
          <t>Vetted Partners Only</t>
        </is>
      </c>
      <c r="J8" s="2" t="inlineStr">
        <is>
          <t>Proteksi</t>
        </is>
      </c>
      <c r="K8" s="14" t="inlineStr">
        <is>
          <t>Garansi Finansial 100%</t>
        </is>
      </c>
    </row>
    <row r="9">
      <c r="A9" s="2" t="inlineStr">
        <is>
          <t>Tanggal Acara</t>
        </is>
      </c>
      <c r="B9" s="14" t="inlineStr">
        <is>
          <t>20 December 2026</t>
        </is>
      </c>
      <c r="D9" s="2" t="inlineStr">
        <is>
          <t>Estimasi Tamu</t>
        </is>
      </c>
      <c r="E9" s="14" t="inlineStr">
        <is>
          <t>500 Pax</t>
        </is>
      </c>
      <c r="G9" s="2" t="inlineStr">
        <is>
          <t>Skema Pembayaran</t>
        </is>
      </c>
      <c r="H9" s="14" t="inlineStr">
        <is>
          <t>Platform Escrow Bertahap</t>
        </is>
      </c>
      <c r="J9" s="2" t="inlineStr">
        <is>
          <t>Metode</t>
        </is>
      </c>
      <c r="K9" s="14" t="inlineStr">
        <is>
          <t>Virtual Account &amp; QRIS</t>
        </is>
      </c>
    </row>
    <row r="10">
      <c r="A10" s="2" t="inlineStr">
        <is>
          <t>Anggaran Min</t>
        </is>
      </c>
      <c r="B10" s="14" t="inlineStr">
        <is>
          <t>Rp 30,000,000</t>
        </is>
      </c>
      <c r="D10" s="2" t="inlineStr">
        <is>
          <t>Anggaran Max</t>
        </is>
      </c>
      <c r="E10" s="14" t="inlineStr">
        <is>
          <t>Rp 80,000,000</t>
        </is>
      </c>
      <c r="G10" s="2" t="inlineStr">
        <is>
          <t>Sistem Escrow</t>
        </is>
      </c>
      <c r="H10" s="14" t="inlineStr">
        <is>
          <t>Tiga Tahap (30-40-30)</t>
        </is>
      </c>
      <c r="J10" s="2" t="inlineStr">
        <is>
          <t>Layanan</t>
        </is>
      </c>
      <c r="K10" s="14" t="inlineStr">
        <is>
          <t>Dedicated Event Planner</t>
        </is>
      </c>
    </row>
    <row r="11"/>
    <row r="12"/>
    <row r="13"/>
    <row r="14" ht="28" customHeight="1">
      <c r="A14" s="15" t="inlineStr">
        <is>
          <t>No.</t>
        </is>
      </c>
      <c r="B14" s="15" t="inlineStr">
        <is>
          <t>Kategori Pengeluaran</t>
        </is>
      </c>
      <c r="C14" s="15" t="inlineStr">
        <is>
          <t>Alokasi Target (%)</t>
        </is>
      </c>
      <c r="D14" s="15" t="inlineStr">
        <is>
          <t>Target Anggaran (Rp)</t>
        </is>
      </c>
      <c r="E14" s="15" t="inlineStr">
        <is>
          <t>Vendor Rekomendasi / Terpilih</t>
        </is>
      </c>
      <c r="F14" s="15" t="inlineStr">
        <is>
          <t>Realisasi Kontrak (Rp)</t>
        </is>
      </c>
      <c r="G14" s="15" t="inlineStr">
        <is>
          <t>Selisih / Variance (Rp)</t>
        </is>
      </c>
      <c r="H14" s="15" t="inlineStr">
        <is>
          <t>Status Efisiensi</t>
        </is>
      </c>
      <c r="I14" s="15" t="inlineStr">
        <is>
          <t>DP 30% (Rp)</t>
        </is>
      </c>
      <c r="J14" s="15" t="inlineStr">
        <is>
          <t>Mid-Term 40% (Rp)</t>
        </is>
      </c>
      <c r="K14" s="15" t="inlineStr">
        <is>
          <t>Pelunasan 30% (Rp)</t>
        </is>
      </c>
      <c r="L14" s="15" t="inlineStr">
        <is>
          <t>Status Pembayaran</t>
        </is>
      </c>
      <c r="M14" s="15" t="inlineStr">
        <is>
          <t>Dana Terbayar (Rp)</t>
        </is>
      </c>
      <c r="N14" s="15" t="inlineStr">
        <is>
          <t>Sisa Kewajiban (Rp)</t>
        </is>
      </c>
    </row>
    <row r="15">
      <c r="A15" s="16" t="n">
        <v>1</v>
      </c>
      <c r="B15" s="17" t="inlineStr">
        <is>
          <t>Catering &amp; Jamuan Tamu</t>
        </is>
      </c>
      <c r="C15" s="18" t="n">
        <v>0.4</v>
      </c>
      <c r="D15" s="19">
        <f>$A$5*C15</f>
        <v/>
      </c>
      <c r="E15" s="17" t="inlineStr">
        <is>
          <t>Nusantara Royal Catering</t>
        </is>
      </c>
      <c r="F15" s="20">
        <f>'Kalkulator Katering'!B34</f>
        <v/>
      </c>
      <c r="G15" s="21">
        <f>D15-F15</f>
        <v/>
      </c>
      <c r="H15" s="22">
        <f>IF(F15=0,"Belum Realisasi",IF(G15&gt;0,"HEMAT " &amp; TEXT(G15,"#,##0"),IF(G15&lt;0,"DEFISIT " &amp; TEXT(ABS(G15),"#,##0"),"SESUAI")))</f>
        <v/>
      </c>
      <c r="I15" s="19">
        <f>ROUND(F15*0.3, 0)</f>
        <v/>
      </c>
      <c r="J15" s="19">
        <f>ROUND(F15*0.4, 0)</f>
        <v/>
      </c>
      <c r="K15" s="19">
        <f>ROUND(F15*0.3, 0)</f>
        <v/>
      </c>
      <c r="L15" s="16" t="inlineStr">
        <is>
          <t>DP 30% Terbayar</t>
        </is>
      </c>
      <c r="M15" s="21">
        <f>IF(L15="Lunas",F15,IF(L15="Mid-Term 40% Terbayar",I15+J15,IF(L15="DP 30% Terbayar",I15,0)))</f>
        <v/>
      </c>
      <c r="N15" s="21">
        <f>F15-M15</f>
        <v/>
      </c>
    </row>
    <row r="16">
      <c r="A16" s="16" t="n">
        <v>2</v>
      </c>
      <c r="B16" s="17" t="inlineStr">
        <is>
          <t>Dekorasi, Pelaminan &amp; Venue</t>
        </is>
      </c>
      <c r="C16" s="18" t="n">
        <v>0.3</v>
      </c>
      <c r="D16" s="19">
        <f>$A$5*C16</f>
        <v/>
      </c>
      <c r="E16" s="17" t="inlineStr">
        <is>
          <t>Kencana Art Decoration</t>
        </is>
      </c>
      <c r="F16" s="20" t="n">
        <v>24000000</v>
      </c>
      <c r="G16" s="21">
        <f>D16-F16</f>
        <v/>
      </c>
      <c r="H16" s="22">
        <f>IF(F16=0,"Belum Realisasi",IF(G16&gt;0,"HEMAT " &amp; TEXT(G16,"#,##0"),IF(G16&lt;0,"DEFISIT " &amp; TEXT(ABS(G16),"#,##0"),"SESUAI")))</f>
        <v/>
      </c>
      <c r="I16" s="19">
        <f>ROUND(F16*0.3, 0)</f>
        <v/>
      </c>
      <c r="J16" s="19">
        <f>ROUND(F16*0.4, 0)</f>
        <v/>
      </c>
      <c r="K16" s="19">
        <f>ROUND(F16*0.3, 0)</f>
        <v/>
      </c>
      <c r="L16" s="16" t="inlineStr">
        <is>
          <t>Menunggu Konfirmasi</t>
        </is>
      </c>
      <c r="M16" s="21">
        <f>IF(L16="Lunas",F16,IF(L16="Mid-Term 40% Terbayar",I16+J16,IF(L16="DP 30% Terbayar",I16,0)))</f>
        <v/>
      </c>
      <c r="N16" s="21">
        <f>F16-M16</f>
        <v/>
      </c>
    </row>
    <row r="17">
      <c r="A17" s="16" t="n">
        <v>3</v>
      </c>
      <c r="B17" s="17" t="inlineStr">
        <is>
          <t>Dokumentasi (Foto &amp; Cinematic Video)</t>
        </is>
      </c>
      <c r="C17" s="18" t="n">
        <v>0.12</v>
      </c>
      <c r="D17" s="19">
        <f>$A$5*C17</f>
        <v/>
      </c>
      <c r="E17" s="17" t="inlineStr">
        <is>
          <t>Lumina Visuals Studio</t>
        </is>
      </c>
      <c r="F17" s="20" t="n">
        <v>9600000</v>
      </c>
      <c r="G17" s="21">
        <f>D17-F17</f>
        <v/>
      </c>
      <c r="H17" s="22">
        <f>IF(F17=0,"Belum Realisasi",IF(G17&gt;0,"HEMAT " &amp; TEXT(G17,"#,##0"),IF(G17&lt;0,"DEFISIT " &amp; TEXT(ABS(G17),"#,##0"),"SESUAI")))</f>
        <v/>
      </c>
      <c r="I17" s="19">
        <f>ROUND(F17*0.3, 0)</f>
        <v/>
      </c>
      <c r="J17" s="19">
        <f>ROUND(F17*0.4, 0)</f>
        <v/>
      </c>
      <c r="K17" s="19">
        <f>ROUND(F17*0.3, 0)</f>
        <v/>
      </c>
      <c r="L17" s="16" t="inlineStr">
        <is>
          <t>Quotation Diterima</t>
        </is>
      </c>
      <c r="M17" s="21">
        <f>IF(L17="Lunas",F17,IF(L17="Mid-Term 40% Terbayar",I17+J17,IF(L17="DP 30% Terbayar",I17,0)))</f>
        <v/>
      </c>
      <c r="N17" s="21">
        <f>F17-M17</f>
        <v/>
      </c>
    </row>
    <row r="18">
      <c r="A18" s="16" t="n">
        <v>4</v>
      </c>
      <c r="B18" s="17" t="inlineStr">
        <is>
          <t>Sound System, Lighting, MC &amp; Hiburan</t>
        </is>
      </c>
      <c r="C18" s="18" t="n">
        <v>0.13</v>
      </c>
      <c r="D18" s="19">
        <f>$A$5*C18</f>
        <v/>
      </c>
      <c r="E18" s="17" t="inlineStr">
        <is>
          <t>SoundVibe Pro Audio</t>
        </is>
      </c>
      <c r="F18" s="20" t="n">
        <v>10400000</v>
      </c>
      <c r="G18" s="21">
        <f>D18-F18</f>
        <v/>
      </c>
      <c r="H18" s="22">
        <f>IF(F18=0,"Belum Realisasi",IF(G18&gt;0,"HEMAT " &amp; TEXT(G18,"#,##0"),IF(G18&lt;0,"DEFISIT " &amp; TEXT(ABS(G18),"#,##0"),"SESUAI")))</f>
        <v/>
      </c>
      <c r="I18" s="19">
        <f>ROUND(F18*0.3, 0)</f>
        <v/>
      </c>
      <c r="J18" s="19">
        <f>ROUND(F18*0.4, 0)</f>
        <v/>
      </c>
      <c r="K18" s="19">
        <f>ROUND(F18*0.3, 0)</f>
        <v/>
      </c>
      <c r="L18" s="16" t="inlineStr">
        <is>
          <t>Rekomendasi</t>
        </is>
      </c>
      <c r="M18" s="21">
        <f>IF(L18="Lunas",F18,IF(L18="Mid-Term 40% Terbayar",I18+J18,IF(L18="DP 30% Terbayar",I18,0)))</f>
        <v/>
      </c>
      <c r="N18" s="21">
        <f>F18-M18</f>
        <v/>
      </c>
    </row>
    <row r="19">
      <c r="A19" s="16" t="n">
        <v>5</v>
      </c>
      <c r="B19" s="23" t="inlineStr">
        <is>
          <t>Dana Cadangan Tak Terduga (Contingency)</t>
        </is>
      </c>
      <c r="C19" s="18" t="n">
        <v>0.05</v>
      </c>
      <c r="D19" s="19">
        <f>$A$5*C19</f>
        <v/>
      </c>
      <c r="E19" s="17" t="inlineStr">
        <is>
          <t>Alokasi Cadangan Mandiri</t>
        </is>
      </c>
      <c r="F19" s="20" t="n">
        <v>0</v>
      </c>
      <c r="G19" s="21">
        <f>D19-F19</f>
        <v/>
      </c>
      <c r="H19" s="22">
        <f>IF(F19=0,"Belum Realisasi",IF(G19&gt;0,"HEMAT " &amp; TEXT(G19,"#,##0"),IF(G19&lt;0,"DEFISIT " &amp; TEXT(ABS(G19),"#,##0"),"SESUAI")))</f>
        <v/>
      </c>
      <c r="I19" s="19">
        <f>ROUND(F19*0.3, 0)</f>
        <v/>
      </c>
      <c r="J19" s="19">
        <f>ROUND(F19*0.4, 0)</f>
        <v/>
      </c>
      <c r="K19" s="19">
        <f>ROUND(F19*0.3, 0)</f>
        <v/>
      </c>
      <c r="L19" s="16" t="inlineStr">
        <is>
          <t>Belum Bayar</t>
        </is>
      </c>
      <c r="M19" s="21">
        <f>IF(L19="Lunas",F19,IF(L19="Mid-Term 40% Terbayar",I19+J19,IF(L19="DP 30% Terbayar",I19,0)))</f>
        <v/>
      </c>
      <c r="N19" s="21">
        <f>F19-M19</f>
        <v/>
      </c>
    </row>
    <row r="20">
      <c r="A20" s="24" t="inlineStr"/>
      <c r="B20" s="25" t="inlineStr">
        <is>
          <t>TOTAL KESELURUHAN</t>
        </is>
      </c>
      <c r="C20" s="26">
        <f>SUM(C15:C19)</f>
        <v/>
      </c>
      <c r="D20" s="27">
        <f>SUM(D15:D19)</f>
        <v/>
      </c>
      <c r="E20" s="25" t="inlineStr">
        <is>
          <t>5 Divisi Master</t>
        </is>
      </c>
      <c r="F20" s="27">
        <f>SUM(F15:F19)</f>
        <v/>
      </c>
      <c r="G20" s="27">
        <f>SUM(G15:G19)</f>
        <v/>
      </c>
      <c r="H20" s="24">
        <f>IF(G20&gt;0,"TOTAL SURPLUS",IF(G20&lt;0,"TOTAL DEFISIT","SEIMBANG"))</f>
        <v/>
      </c>
      <c r="I20" s="27">
        <f>SUM(I15:I19)</f>
        <v/>
      </c>
      <c r="J20" s="27">
        <f>SUM(J15:J19)</f>
        <v/>
      </c>
      <c r="K20" s="27">
        <f>SUM(K15:K19)</f>
        <v/>
      </c>
      <c r="L20" s="24" t="inlineStr">
        <is>
          <t>Rekap Escrow</t>
        </is>
      </c>
      <c r="M20" s="27">
        <f>SUM(M15:M19)</f>
        <v/>
      </c>
      <c r="N20" s="27">
        <f>SUM(N15:N19)</f>
        <v/>
      </c>
    </row>
    <row r="21"/>
    <row r="22">
      <c r="B22" s="28" t="inlineStr">
        <is>
          <t>* Panduan Finansial: Kolom berlatar kuning (Realisasi Kontrak) dapat Anda sesuaikan. Biaya katering terhubung otomatis ke Tab 'Kalkulator Katering'. Selisih, status efisiensi, dan dana terbayar escrow terupdate otomatis.</t>
        </is>
      </c>
    </row>
  </sheetData>
  <mergeCells count="18">
    <mergeCell ref="A4:B4"/>
    <mergeCell ref="G4:H4"/>
    <mergeCell ref="E4:F4"/>
    <mergeCell ref="E2:G2"/>
    <mergeCell ref="I4:J4"/>
    <mergeCell ref="M5:N6"/>
    <mergeCell ref="H2:K2"/>
    <mergeCell ref="C4:D4"/>
    <mergeCell ref="A5:B6"/>
    <mergeCell ref="C5:D6"/>
    <mergeCell ref="E5:F6"/>
    <mergeCell ref="G5:H6"/>
    <mergeCell ref="I5:J6"/>
    <mergeCell ref="K5:L6"/>
    <mergeCell ref="K4:L4"/>
    <mergeCell ref="M4:N4"/>
    <mergeCell ref="B2:D2"/>
    <mergeCell ref="A1:N1"/>
  </mergeCells>
  <conditionalFormatting sqref="G15:G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15:L19">
    <cfRule type="cellIs" priority="3" operator="equal" dxfId="0">
      <formula>"Lunas"</formula>
    </cfRule>
    <cfRule type="cellIs" priority="4" operator="equal" dxfId="2">
      <formula>"DP 30% Terbayar"</formula>
    </cfRule>
    <cfRule type="cellIs" priority="5" operator="equal" dxfId="2">
      <formula>"Mid-Term 40% Terbayar"</formula>
    </cfRule>
  </conditionalFormatting>
  <dataValidations count="1">
    <dataValidation sqref="L15:L19" showDropDown="0" showInputMessage="0" showErrorMessage="0" allowBlank="1" type="list">
      <formula1>"Belum Bayar,DP 30% Terbayar,Mid-Term 40% Terbayar,Lunas"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3" customWidth="1" min="1" max="1"/>
    <col width="30" customWidth="1" min="2" max="2"/>
    <col width="35" customWidth="1" min="3" max="3"/>
    <col width="37" customWidth="1" min="4" max="4"/>
    <col width="15" customWidth="1" min="5" max="5"/>
    <col width="17" customWidth="1" min="6" max="6"/>
    <col width="37" customWidth="1" min="7" max="7"/>
    <col width="23" customWidth="1" min="8" max="8"/>
    <col width="36" customWidth="1" min="9" max="9"/>
    <col width="43" customWidth="1" min="10" max="10"/>
    <col width="20" customWidth="1" min="11" max="11"/>
    <col width="24" customWidth="1" min="12" max="12"/>
    <col width="36" customWidth="1" min="13" max="13"/>
    <col width="42" customWidth="1" min="14" max="14"/>
  </cols>
  <sheetData>
    <row r="1" ht="36" customHeight="1">
      <c r="A1" s="1" t="inlineStr">
        <is>
          <t>DIREKTORI RESMI VENDOR TERKURASI &amp; KONTAK PIC (PAID PLANNER UNLOCKED)</t>
        </is>
      </c>
    </row>
    <row r="2"/>
    <row r="3">
      <c r="A3" s="29" t="inlineStr">
        <is>
          <t>TOTAL VENDOR TERKURASI</t>
        </is>
      </c>
      <c r="B3" s="7" t="n"/>
      <c r="C3" s="7" t="n"/>
      <c r="D3" s="30" t="inlineStr">
        <is>
          <t>VENDOR SUDAH BOOKING</t>
        </is>
      </c>
      <c r="E3" s="7" t="n"/>
      <c r="F3" s="7" t="n"/>
      <c r="G3" s="31" t="inlineStr">
        <is>
          <t>VENDOR DALAM DISKUSI</t>
        </is>
      </c>
      <c r="H3" s="7" t="n"/>
      <c r="I3" s="7" t="n"/>
      <c r="J3" s="32" t="inlineStr">
        <is>
          <t>TOTAL NILAI KONTRAK VENDOR TERPILIH</t>
        </is>
      </c>
      <c r="K3" s="7" t="n"/>
      <c r="L3" s="7" t="n"/>
      <c r="M3" s="7" t="n"/>
      <c r="N3" s="7" t="n"/>
    </row>
    <row r="4">
      <c r="A4" s="33">
        <f>COUNTA(C7:C11)</f>
        <v/>
      </c>
      <c r="B4" s="7" t="n"/>
      <c r="C4" s="7" t="n"/>
      <c r="D4" s="34">
        <f>COUNTIF(L7:L11, "Sudah Booking")</f>
        <v/>
      </c>
      <c r="E4" s="7" t="n"/>
      <c r="F4" s="7" t="n"/>
      <c r="G4" s="35">
        <f>COUNTIF(L7:L11, "Dalam Diskusi")</f>
        <v/>
      </c>
      <c r="H4" s="7" t="n"/>
      <c r="I4" s="7" t="n"/>
      <c r="J4" s="36">
        <f>SUMIF(L7:L11, "Sudah Booking", K7:K11)</f>
        <v/>
      </c>
      <c r="K4" s="7" t="n"/>
      <c r="L4" s="7" t="n"/>
      <c r="M4" s="7" t="n"/>
      <c r="N4" s="7" t="n"/>
    </row>
    <row r="5"/>
    <row r="6" ht="26" customHeight="1">
      <c r="A6" s="37" t="inlineStr">
        <is>
          <t>No.</t>
        </is>
      </c>
      <c r="B6" s="37" t="inlineStr">
        <is>
          <t>Kategori</t>
        </is>
      </c>
      <c r="C6" s="37" t="inlineStr">
        <is>
          <t>Nama Vendor Resmi</t>
        </is>
      </c>
      <c r="D6" s="37" t="inlineStr">
        <is>
          <t>Kota</t>
        </is>
      </c>
      <c r="E6" s="37" t="inlineStr">
        <is>
          <t>Rating</t>
        </is>
      </c>
      <c r="F6" s="37" t="inlineStr">
        <is>
          <t>Event Selesai</t>
        </is>
      </c>
      <c r="G6" s="37" t="inlineStr">
        <is>
          <t>Nama PIC</t>
        </is>
      </c>
      <c r="H6" s="37" t="inlineStr">
        <is>
          <t>Kontak WhatsApp PIC</t>
        </is>
      </c>
      <c r="I6" s="37" t="inlineStr">
        <is>
          <t>Paket Utama</t>
        </is>
      </c>
      <c r="J6" s="37" t="inlineStr">
        <is>
          <t>Kapasitas Pax</t>
        </is>
      </c>
      <c r="K6" s="37" t="inlineStr">
        <is>
          <t>Harga Paket (Rp)</t>
        </is>
      </c>
      <c r="L6" s="37" t="inlineStr">
        <is>
          <t>Status Tindak Lanjut</t>
        </is>
      </c>
      <c r="M6" s="37" t="inlineStr">
        <is>
          <t>Estimasi Biaya/Pax</t>
        </is>
      </c>
      <c r="N6" s="37" t="inlineStr">
        <is>
          <t>Catatan Negosiasi &amp; Termin</t>
        </is>
      </c>
    </row>
    <row r="7">
      <c r="A7" s="16" t="n">
        <v>1</v>
      </c>
      <c r="B7" s="17" t="inlineStr">
        <is>
          <t>Pernikahan (Wedding)</t>
        </is>
      </c>
      <c r="C7" s="23" t="inlineStr">
        <is>
          <t>Anargya Estate Bandung</t>
        </is>
      </c>
      <c r="D7" s="17" t="inlineStr">
        <is>
          <t>Bandung</t>
        </is>
      </c>
      <c r="E7" s="38" t="n">
        <v>4.8</v>
      </c>
      <c r="F7" s="39" t="n">
        <v>52</v>
      </c>
      <c r="G7" s="17" t="inlineStr">
        <is>
          <t>Arif Wicaksana</t>
        </is>
      </c>
      <c r="H7" s="40" t="inlineStr">
        <is>
          <t>081233441101</t>
        </is>
      </c>
      <c r="I7" s="17" t="inlineStr">
        <is>
          <t>Paket Sunset Garden Wedding</t>
        </is>
      </c>
      <c r="J7" s="39" t="n">
        <v>300</v>
      </c>
      <c r="K7" s="41" t="n">
        <v>45000000</v>
      </c>
      <c r="L7" s="16" t="inlineStr">
        <is>
          <t>Sudah Booking</t>
        </is>
      </c>
      <c r="M7" s="42">
        <f>IF(J7&gt;0, ROUND(K7/J7, 0), 0)</f>
        <v/>
      </c>
      <c r="N7" s="17" t="inlineStr">
        <is>
          <t>Negosiasi paket bonus &amp; jadwal loading</t>
        </is>
      </c>
    </row>
    <row r="8">
      <c r="A8" s="16" t="n">
        <v>2</v>
      </c>
      <c r="B8" s="17" t="inlineStr">
        <is>
          <t>Corporate Gathering &amp; Gala</t>
        </is>
      </c>
      <c r="C8" s="23" t="inlineStr">
        <is>
          <t>Griya Cempaka Hall</t>
        </is>
      </c>
      <c r="D8" s="17" t="inlineStr">
        <is>
          <t>Jakarta</t>
        </is>
      </c>
      <c r="E8" s="38" t="n">
        <v>4.5</v>
      </c>
      <c r="F8" s="39" t="n">
        <v>44</v>
      </c>
      <c r="G8" s="17" t="inlineStr">
        <is>
          <t>Hendra Setiawan</t>
        </is>
      </c>
      <c r="H8" s="40" t="inlineStr">
        <is>
          <t>081233441102</t>
        </is>
      </c>
      <c r="I8" s="17" t="inlineStr">
        <is>
          <t>Half Day Hall Rental</t>
        </is>
      </c>
      <c r="J8" s="39" t="n">
        <v>300</v>
      </c>
      <c r="K8" s="41" t="n">
        <v>25000000</v>
      </c>
      <c r="L8" s="16" t="inlineStr">
        <is>
          <t>Dalam Diskusi</t>
        </is>
      </c>
      <c r="M8" s="42">
        <f>IF(J8&gt;0, ROUND(K8/J8, 0), 0)</f>
        <v/>
      </c>
      <c r="N8" s="17" t="inlineStr">
        <is>
          <t>Negosiasi paket bonus &amp; jadwal loading</t>
        </is>
      </c>
    </row>
    <row r="9">
      <c r="A9" s="16" t="n">
        <v>3</v>
      </c>
      <c r="B9" s="17" t="inlineStr">
        <is>
          <t>Intimate Gathering</t>
        </is>
      </c>
      <c r="C9" s="23" t="inlineStr">
        <is>
          <t>Balenio Sky Rooftop</t>
        </is>
      </c>
      <c r="D9" s="17" t="inlineStr">
        <is>
          <t>Surabaya</t>
        </is>
      </c>
      <c r="E9" s="38" t="n">
        <v>4.6</v>
      </c>
      <c r="F9" s="39" t="n">
        <v>38</v>
      </c>
      <c r="G9" s="17" t="inlineStr">
        <is>
          <t>Jessica Natalie</t>
        </is>
      </c>
      <c r="H9" s="40" t="inlineStr">
        <is>
          <t>081233441103</t>
        </is>
      </c>
      <c r="I9" s="17" t="inlineStr">
        <is>
          <t>Intimate Rooftop Soiree</t>
        </is>
      </c>
      <c r="J9" s="39" t="n">
        <v>80</v>
      </c>
      <c r="K9" s="41" t="n">
        <v>18000000</v>
      </c>
      <c r="L9" s="16" t="inlineStr">
        <is>
          <t>Belum Dihubungi</t>
        </is>
      </c>
      <c r="M9" s="42">
        <f>IF(J9&gt;0, ROUND(K9/J9, 0), 0)</f>
        <v/>
      </c>
      <c r="N9" s="17" t="inlineStr">
        <is>
          <t>Negosiasi paket bonus &amp; jadwal loading</t>
        </is>
      </c>
    </row>
    <row r="10">
      <c r="A10" s="16" t="n">
        <v>4</v>
      </c>
      <c r="B10" s="17" t="inlineStr">
        <is>
          <t>Pernikahan (Wedding)</t>
        </is>
      </c>
      <c r="C10" s="23" t="inlineStr">
        <is>
          <t>Rasa Nusantara Gourmet Catering</t>
        </is>
      </c>
      <c r="D10" s="17" t="inlineStr">
        <is>
          <t>Jakarta</t>
        </is>
      </c>
      <c r="E10" s="38" t="n">
        <v>4.7</v>
      </c>
      <c r="F10" s="39" t="n">
        <v>78</v>
      </c>
      <c r="G10" s="17" t="inlineStr">
        <is>
          <t>Chef Hartono Sutedjo</t>
        </is>
      </c>
      <c r="H10" s="40" t="inlineStr">
        <is>
          <t>081388991122</t>
        </is>
      </c>
      <c r="I10" s="17" t="inlineStr">
        <is>
          <t>Paket Prasmanan Selera Nusantara</t>
        </is>
      </c>
      <c r="J10" s="39" t="n">
        <v>300</v>
      </c>
      <c r="K10" s="41" t="n">
        <v>28000000</v>
      </c>
      <c r="L10" s="16" t="inlineStr">
        <is>
          <t>Belum Dihubungi</t>
        </is>
      </c>
      <c r="M10" s="42">
        <f>IF(J10&gt;0, ROUND(K10/J10, 0), 0)</f>
        <v/>
      </c>
      <c r="N10" s="17" t="inlineStr">
        <is>
          <t>Negosiasi paket bonus &amp; jadwal loading</t>
        </is>
      </c>
    </row>
    <row r="11">
      <c r="A11" s="16" t="n">
        <v>5</v>
      </c>
      <c r="B11" s="17" t="inlineStr">
        <is>
          <t>Corporate Gathering &amp; Gala</t>
        </is>
      </c>
      <c r="C11" s="23" t="inlineStr">
        <is>
          <t>Cita Rasa Elok Fine Dining</t>
        </is>
      </c>
      <c r="D11" s="17" t="inlineStr">
        <is>
          <t>Bandung</t>
        </is>
      </c>
      <c r="E11" s="38" t="n">
        <v>4.9</v>
      </c>
      <c r="F11" s="39" t="n">
        <v>61</v>
      </c>
      <c r="G11" s="17" t="inlineStr">
        <is>
          <t>Chef Marcelina</t>
        </is>
      </c>
      <c r="H11" s="40" t="inlineStr">
        <is>
          <t>081233441105</t>
        </is>
      </c>
      <c r="I11" s="17" t="inlineStr">
        <is>
          <t>4-Course Plated Gala Dinner</t>
        </is>
      </c>
      <c r="J11" s="39" t="n">
        <v>100</v>
      </c>
      <c r="K11" s="41" t="n">
        <v>35000000</v>
      </c>
      <c r="L11" s="16" t="inlineStr">
        <is>
          <t>Belum Dihubungi</t>
        </is>
      </c>
      <c r="M11" s="42">
        <f>IF(J11&gt;0, ROUND(K11/J11, 0), 0)</f>
        <v/>
      </c>
      <c r="N11" s="17" t="inlineStr">
        <is>
          <t>Negosiasi paket bonus &amp; jadwal loading</t>
        </is>
      </c>
    </row>
  </sheetData>
  <mergeCells count="9">
    <mergeCell ref="J4:N4"/>
    <mergeCell ref="J3:N3"/>
    <mergeCell ref="D4:F4"/>
    <mergeCell ref="D3:F3"/>
    <mergeCell ref="A3:C3"/>
    <mergeCell ref="G3:I3"/>
    <mergeCell ref="G4:I4"/>
    <mergeCell ref="A4:C4"/>
    <mergeCell ref="A1:N1"/>
  </mergeCells>
  <conditionalFormatting sqref="L7:L11">
    <cfRule type="cellIs" priority="1" operator="equal" dxfId="0">
      <formula>"Sudah Booking"</formula>
    </cfRule>
    <cfRule type="cellIs" priority="2" operator="equal" dxfId="2">
      <formula>"Dalam Diskusi"</formula>
    </cfRule>
    <cfRule type="cellIs" priority="3" operator="equal" dxfId="1">
      <formula>"Ditolak"</formula>
    </cfRule>
  </conditionalFormatting>
  <dataValidations count="1">
    <dataValidation sqref="L7:L11" showDropDown="0" showInputMessage="0" showErrorMessage="0" allowBlank="1" type="list">
      <formula1>"Belum Dihubungi,Dalam Diskusi,Sudah Booking,Ditolak"</formula1>
    </dataValidation>
  </dataValidation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3" customWidth="1" min="1" max="1"/>
    <col width="54" customWidth="1" min="2" max="2"/>
    <col width="115" customWidth="1" min="3" max="3"/>
    <col width="100" customWidth="1" min="4" max="4"/>
    <col width="62" customWidth="1" min="5" max="5"/>
    <col width="37" customWidth="1" min="6" max="6"/>
  </cols>
  <sheetData>
    <row r="1" ht="36" customHeight="1">
      <c r="A1" s="1" t="inlineStr">
        <is>
          <t>MASTER TIMELINE PERSIAPAN, DEADLINE TARGET &amp; RUNDOWN HARI-H</t>
        </is>
      </c>
    </row>
    <row r="2"/>
    <row r="3">
      <c r="A3" s="6" t="inlineStr">
        <is>
          <t>COUNTDOWN HARI-H</t>
        </is>
      </c>
      <c r="B3" s="8" t="inlineStr">
        <is>
          <t>TOTAL TARGET CHECKLIST</t>
        </is>
      </c>
      <c r="C3" s="9" t="inlineStr">
        <is>
          <t>TARGET SELESAI</t>
        </is>
      </c>
      <c r="D3" s="43" t="inlineStr">
        <is>
          <t>TARGET DALAM PROSES</t>
        </is>
      </c>
      <c r="E3" s="6" t="inlineStr">
        <is>
          <t>PERSENTASE KESIAPAN ACARA (%)</t>
        </is>
      </c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44">
        <f>DATE(2026,12,20)-TODAY()</f>
        <v/>
      </c>
      <c r="B5" s="45">
        <f>COUNTA(C11:C15)+COUNTA(C19:C22)+COUNTA(C26:C32)</f>
        <v/>
      </c>
      <c r="C5" s="46">
        <f>COUNTIF(E11:E15,"Selesai")+COUNTIF(E19:E22,"Selesai")+COUNTIF(E26:E32,"Selesai")</f>
        <v/>
      </c>
      <c r="D5" s="47">
        <f>COUNTIF(E11:E15,"Dalam Proses")+COUNTIF(E19:E22,"Dalam Proses")+COUNTIF(E26:E32,"Dalam Proses")</f>
        <v/>
      </c>
      <c r="E5" s="48">
        <f>C5/B5</f>
        <v/>
      </c>
      <c r="F5" s="7" t="n"/>
    </row>
    <row r="6"/>
    <row r="7"/>
    <row r="8">
      <c r="A8" s="2" t="inlineStr">
        <is>
          <t>1. TARGET BULANAN (DEADLINE STRATEGIS H-6 S/D H-2)</t>
        </is>
      </c>
    </row>
    <row r="9" ht="24" customHeight="1">
      <c r="A9" s="37" t="inlineStr">
        <is>
          <t>Periode Target</t>
        </is>
      </c>
      <c r="B9" s="37" t="inlineStr">
        <is>
          <t>Batas Waktu</t>
        </is>
      </c>
      <c r="C9" s="37" t="inlineStr">
        <is>
          <t>Sasaran Utama &amp; Deliverables</t>
        </is>
      </c>
      <c r="D9" s="37" t="inlineStr">
        <is>
          <t>Penanggung Jawab</t>
        </is>
      </c>
      <c r="E9" s="37" t="inlineStr">
        <is>
          <t>Status Target</t>
        </is>
      </c>
      <c r="F9" s="37" t="inlineStr">
        <is>
          <t>Catatan Verifikasi</t>
        </is>
      </c>
    </row>
    <row r="10">
      <c r="A10" s="23" t="inlineStr">
        <is>
          <t>Target Bulanan: H-2</t>
        </is>
      </c>
      <c r="B10" s="16" t="inlineStr">
        <is>
          <t>2 Bulan Sebelum</t>
        </is>
      </c>
      <c r="C10" s="17" t="inlineStr">
        <is>
          <t>Cetak undangan fisik &amp; rilis undangan digital, pesanan souvenir, pembentukan struktur panitia keluarga</t>
        </is>
      </c>
      <c r="D10" s="17" t="inlineStr">
        <is>
          <t>Panitia Keluarga &amp; WO</t>
        </is>
      </c>
      <c r="E10" s="16" t="inlineStr">
        <is>
          <t>Belum Mulai</t>
        </is>
      </c>
      <c r="F10" s="49" t="inlineStr">
        <is>
          <t>Draft desain undangan sudah final</t>
        </is>
      </c>
    </row>
    <row r="11"/>
    <row r="12"/>
    <row r="13">
      <c r="A13" s="2" t="inlineStr">
        <is>
          <t>2. TARGET MINGGUAN (SPRINT KOORDINASI 4 MINGGU TERAKHIR)</t>
        </is>
      </c>
    </row>
    <row r="14" ht="24" customHeight="1">
      <c r="A14" s="50" t="inlineStr">
        <is>
          <t>Minggu Ke-</t>
        </is>
      </c>
      <c r="B14" s="50" t="inlineStr">
        <is>
          <t>Fokus Koordinasi</t>
        </is>
      </c>
      <c r="C14" s="50" t="inlineStr">
        <is>
          <t>Sasaran Utama &amp; Deliverables</t>
        </is>
      </c>
      <c r="D14" s="50" t="inlineStr">
        <is>
          <t>PIC Vendor / Panitia</t>
        </is>
      </c>
      <c r="E14" s="50" t="inlineStr">
        <is>
          <t>Status Target</t>
        </is>
      </c>
      <c r="F14" s="50" t="inlineStr">
        <is>
          <t>Catatan Verifikasi</t>
        </is>
      </c>
    </row>
    <row r="15">
      <c r="A15" s="23" t="inlineStr">
        <is>
          <t>Target Mingguan: W-1</t>
        </is>
      </c>
      <c r="B15" s="23" t="inlineStr">
        <is>
          <t>Master Rundown &amp; Perizinan</t>
        </is>
      </c>
      <c r="C15" s="17" t="inlineStr">
        <is>
          <t>Finalisasi rundown menit-ke-menit dengan MC &amp; pengisi acara, izin keamanan/keramaian, koordinasi kantong parkir</t>
        </is>
      </c>
      <c r="D15" s="17" t="inlineStr">
        <is>
          <t>WO, MC &amp; Keamanan</t>
        </is>
      </c>
      <c r="E15" s="16" t="inlineStr">
        <is>
          <t>Belum Mulai</t>
        </is>
      </c>
      <c r="F15" s="49" t="inlineStr">
        <is>
          <t>Briefing MC &amp; musik</t>
        </is>
      </c>
    </row>
    <row r="16"/>
    <row r="17"/>
    <row r="18">
      <c r="A18" s="2" t="inlineStr">
        <is>
          <t>3. TARGET HARIAN (COUNTDOWN OPERASIONAL H-7 S/D H-1)</t>
        </is>
      </c>
    </row>
    <row r="19" ht="24" customHeight="1">
      <c r="A19" s="51" t="inlineStr">
        <is>
          <t>Hari Countdown</t>
        </is>
      </c>
      <c r="B19" s="51" t="inlineStr">
        <is>
          <t>Waktu Pelaksanaan</t>
        </is>
      </c>
      <c r="C19" s="51" t="inlineStr">
        <is>
          <t>Aksi Operasional &amp; Pengecekan</t>
        </is>
      </c>
      <c r="D19" s="51" t="inlineStr">
        <is>
          <t>Penanggung Jawab</t>
        </is>
      </c>
      <c r="E19" s="51" t="inlineStr">
        <is>
          <t>Status Target</t>
        </is>
      </c>
      <c r="F19" s="51" t="inlineStr">
        <is>
          <t>Catatan Verifikasi</t>
        </is>
      </c>
    </row>
    <row r="20">
      <c r="A20" s="23" t="inlineStr">
        <is>
          <t>Target Harian: H-1</t>
        </is>
      </c>
      <c r="B20" s="16" t="inlineStr">
        <is>
          <t>1 Hari Sebelum</t>
        </is>
      </c>
      <c r="C20" s="17" t="inlineStr">
        <is>
          <t>Loading dekorasi &amp; sound system, check-in kamar keluarga di hotel venue, briefing malam seluruh panitia</t>
        </is>
      </c>
      <c r="D20" s="17" t="inlineStr">
        <is>
          <t>WO &amp; Teknisi Lapangan</t>
        </is>
      </c>
      <c r="E20" s="16" t="inlineStr">
        <is>
          <t>Belum Mulai</t>
        </is>
      </c>
      <c r="F20" s="49" t="inlineStr">
        <is>
          <t>Pengecekan akhir H-1 venue</t>
        </is>
      </c>
    </row>
    <row r="21"/>
    <row r="22"/>
    <row r="23">
      <c r="A23" s="2" t="inlineStr">
        <is>
          <t>4. RUNDOWN HARI-H (SUSUNAN ACARA DETAIL MINUTE-BY-MINUTE)</t>
        </is>
      </c>
    </row>
    <row r="24" ht="24" customHeight="1">
      <c r="A24" s="37" t="inlineStr">
        <is>
          <t>Waktu (WIB)</t>
        </is>
      </c>
      <c r="B24" s="37" t="inlineStr">
        <is>
          <t>Sesi / Agenda Acara</t>
        </is>
      </c>
      <c r="C24" s="37" t="inlineStr">
        <is>
          <t>Lokasi</t>
        </is>
      </c>
      <c r="D24" s="37" t="inlineStr">
        <is>
          <t>PIC Utama</t>
        </is>
      </c>
      <c r="E24" s="37" t="inlineStr">
        <is>
          <t>Catatan Teknis, Audio &amp; Lighting Cue</t>
        </is>
      </c>
      <c r="F24" s="37" t="inlineStr">
        <is>
          <t>Status Sesi</t>
        </is>
      </c>
    </row>
    <row r="25">
      <c r="A25" s="16" t="inlineStr">
        <is>
          <t>13.15 - 15.00</t>
        </is>
      </c>
      <c r="B25" s="23" t="inlineStr">
        <is>
          <t>Loading Out Bertahap Seluruh Vendor &amp; Penyelesaian</t>
        </is>
      </c>
      <c r="C25" s="17" t="inlineStr">
        <is>
          <t>Loading Dock Venue</t>
        </is>
      </c>
      <c r="D25" s="17" t="inlineStr">
        <is>
          <t>Tim Vendor &amp; Logistik</t>
        </is>
      </c>
      <c r="E25" s="17" t="inlineStr">
        <is>
          <t>Serah terima aset keluarga &amp; konfirmasi penyelesaian event</t>
        </is>
      </c>
      <c r="F25" s="16" t="inlineStr">
        <is>
          <t>Belum Mulai</t>
        </is>
      </c>
    </row>
  </sheetData>
  <mergeCells count="7">
    <mergeCell ref="E3:F4"/>
    <mergeCell ref="C3:C4"/>
    <mergeCell ref="B3:B4"/>
    <mergeCell ref="A3:A4"/>
    <mergeCell ref="A1:F1"/>
    <mergeCell ref="E5:F5"/>
    <mergeCell ref="D3:D4"/>
  </mergeCells>
  <conditionalFormatting sqref="E11:E32">
    <cfRule type="cellIs" priority="1" operator="equal" dxfId="0">
      <formula>"Selesai"</formula>
    </cfRule>
    <cfRule type="cellIs" priority="2" operator="equal" dxfId="2">
      <formula>"Dalam Proses"</formula>
    </cfRule>
    <cfRule type="cellIs" priority="3" operator="equal" dxfId="1">
      <formula>"Belum Mulai"</formula>
    </cfRule>
  </conditionalFormatting>
  <conditionalFormatting sqref="F18:F25">
    <cfRule type="cellIs" priority="4" operator="equal" dxfId="0">
      <formula>"Selesai"</formula>
    </cfRule>
    <cfRule type="cellIs" priority="5" operator="equal" dxfId="2">
      <formula>"Dalam Proses"</formula>
    </cfRule>
    <cfRule type="cellIs" priority="6" operator="equal" dxfId="1">
      <formula>"Belum Mulai"</formula>
    </cfRule>
  </conditionalFormatting>
  <dataValidations count="2">
    <dataValidation sqref="E11:E15 E19:E22 E26:E32" showDropDown="0" showInputMessage="0" showErrorMessage="0" allowBlank="1" type="list">
      <formula1>"Selesai,Dalam Proses,Belum Mulai"</formula1>
    </dataValidation>
    <dataValidation sqref="F18:F25" showDropDown="0" showInputMessage="0" showErrorMessage="0" allowBlank="1" type="list">
      <formula1>"Selesai,Dalam Proses,Belum Mulai"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55" customWidth="1" min="3" max="3"/>
    <col width="50" customWidth="1" min="4" max="4"/>
    <col width="71" customWidth="1" min="5" max="5"/>
  </cols>
  <sheetData>
    <row r="1" ht="36" customHeight="1">
      <c r="A1" s="1" t="inlineStr">
        <is>
          <t>KALKULATOR ESTIMASI PORSI KATERING &amp; SIMULASI BIAYA KONSUMSI</t>
        </is>
      </c>
    </row>
    <row r="2">
      <c r="A2" s="2" t="inlineStr">
        <is>
          <t>LEGENDA:</t>
        </is>
      </c>
      <c r="B2" s="52" t="inlineStr">
        <is>
          <t>KOLOM KUNING = INPUT EDITABLE</t>
        </is>
      </c>
      <c r="D2" s="53" t="inlineStr">
        <is>
          <t>KOLOM HIJAU = HASIL KALKULASI OTOMATIS</t>
        </is>
      </c>
    </row>
    <row r="3"/>
    <row r="4">
      <c r="A4" s="2" t="inlineStr">
        <is>
          <t>1. PARAMETER PERHITUNGAN TAMU (SIMULATOR KEHADIRAN):</t>
        </is>
      </c>
    </row>
    <row r="5">
      <c r="A5" s="17" t="inlineStr">
        <is>
          <t>Jumlah Undangan Fisik (Lembar)</t>
        </is>
      </c>
      <c r="B5" s="20" t="n">
        <v>200</v>
      </c>
      <c r="C5" s="49" t="inlineStr">
        <is>
          <t>Ubah sesuai jumlah cetak fisik</t>
        </is>
      </c>
    </row>
    <row r="6">
      <c r="A6" s="17" t="inlineStr">
        <is>
          <t>Estimasi Tamu per Undangan Fisik</t>
        </is>
      </c>
      <c r="B6" s="54" t="n">
        <v>2</v>
      </c>
      <c r="C6" s="49" t="inlineStr">
        <is>
          <t>Standar rata-rata kehadiran: 2 orang per undangan</t>
        </is>
      </c>
    </row>
    <row r="7">
      <c r="A7" s="17" t="inlineStr">
        <is>
          <t>Jumlah Undangan Digital / Broadcast</t>
        </is>
      </c>
      <c r="B7" s="20" t="n">
        <v>100</v>
      </c>
      <c r="C7" s="49" t="inlineStr">
        <is>
          <t>Ubah sesuai daftar broadcast digital</t>
        </is>
      </c>
    </row>
    <row r="8">
      <c r="A8" s="17" t="inlineStr">
        <is>
          <t>Estimasi Kehadiran per Undangan Digital</t>
        </is>
      </c>
      <c r="B8" s="54" t="n">
        <v>1.5</v>
      </c>
      <c r="C8" s="49" t="inlineStr">
        <is>
          <t>Standar rata-rata kehadiran e-invitation: 1.5 orang</t>
        </is>
      </c>
    </row>
    <row r="9">
      <c r="A9" s="23" t="inlineStr">
        <is>
          <t>Subtotal Estimasi Tamu Undangan (Pax)</t>
        </is>
      </c>
      <c r="B9" s="21">
        <f>(B5*B6)+(B7*B8)</f>
        <v/>
      </c>
      <c r="C9" s="49" t="inlineStr">
        <is>
          <t>Kalkulasi otomatis proyeksi tamu hadir</t>
        </is>
      </c>
    </row>
    <row r="10">
      <c r="A10" s="17" t="inlineStr">
        <is>
          <t>Buffer Panitia, Kru Vendor &amp; Keluarga (%)</t>
        </is>
      </c>
      <c r="B10" s="55" t="n">
        <v>0.1</v>
      </c>
      <c r="C10" s="49" t="inlineStr">
        <is>
          <t>Standar aman WO: 10% dari tamu hadir</t>
        </is>
      </c>
    </row>
    <row r="11">
      <c r="A11" s="17" t="inlineStr">
        <is>
          <t>Porsi Tambahan Cadangan &amp; Panitia (Pax)</t>
        </is>
      </c>
      <c r="B11" s="21">
        <f>ROUND(B9*B10, 0)</f>
        <v/>
      </c>
      <c r="C11" s="49" t="inlineStr">
        <is>
          <t>Kalkulasi otomatis porsi buffer cadangan</t>
        </is>
      </c>
    </row>
    <row r="12">
      <c r="A12" s="23" t="inlineStr">
        <is>
          <t>TOTAL ESTIMASI KEBUTUHAN PORSI BERSIH (PAX)</t>
        </is>
      </c>
      <c r="B12" s="56">
        <f>B9+B11</f>
        <v/>
      </c>
      <c r="C12" s="49" t="inlineStr">
        <is>
          <t>Basis utama pemesanan paket katering ke vendor</t>
        </is>
      </c>
    </row>
    <row r="13"/>
    <row r="14">
      <c r="A14" s="2" t="inlineStr">
        <is>
          <t>2. DISTRIBUSI ALOKASI PORSI MENU MAKANAN (STANDAR INDUSTRI WEDDING):</t>
        </is>
      </c>
    </row>
    <row r="15" ht="24" customHeight="1">
      <c r="A15" s="37" t="inlineStr">
        <is>
          <t>Komponen Jamuan</t>
        </is>
      </c>
      <c r="B15" s="37" t="inlineStr">
        <is>
          <t>Rasio Formula Standar</t>
        </is>
      </c>
      <c r="C15" s="37" t="inlineStr">
        <is>
          <t>Jumlah Porsi Dianjurkan</t>
        </is>
      </c>
      <c r="D15" s="37" t="inlineStr">
        <is>
          <t>Satuan</t>
        </is>
      </c>
      <c r="E15" s="37" t="inlineStr">
        <is>
          <t>Keterangan Distribusi</t>
        </is>
      </c>
    </row>
    <row r="16">
      <c r="A16" s="23" t="inlineStr">
        <is>
          <t>Menu Buffet Utama (Prasmanan)</t>
        </is>
      </c>
      <c r="B16" s="57" t="n">
        <v>0.6</v>
      </c>
      <c r="C16" s="58">
        <f>ROUND($B$12*B16, 0)</f>
        <v/>
      </c>
      <c r="D16" s="16" t="inlineStr">
        <is>
          <t>Porsi</t>
        </is>
      </c>
      <c r="E16" s="17" t="inlineStr">
        <is>
          <t>6 menu utama lauk pauk, nasi, sup &amp; dessert</t>
        </is>
      </c>
    </row>
    <row r="17">
      <c r="A17" s="23" t="inlineStr">
        <is>
          <t>Food Stalls / Gubukan (Variasi Menu)</t>
        </is>
      </c>
      <c r="B17" s="57" t="n">
        <v>0.4</v>
      </c>
      <c r="C17" s="58">
        <f>ROUND($B$12*B17*4, 0)</f>
        <v/>
      </c>
      <c r="D17" s="16" t="inlineStr">
        <is>
          <t>Porsi Stall</t>
        </is>
      </c>
      <c r="E17" s="17" t="inlineStr">
        <is>
          <t>Rekomendasi 4 porsi gubukan per tamu (Sate, Zuppa, Siomay, Es Krim)</t>
        </is>
      </c>
    </row>
    <row r="18">
      <c r="A18" s="23" t="inlineStr">
        <is>
          <t>Porsi Meja Khusus VIP &amp; Keluarga Inti</t>
        </is>
      </c>
      <c r="B18" s="57" t="n">
        <v>0.1</v>
      </c>
      <c r="C18" s="58">
        <f>ROUND($B$12*B18, 0)</f>
        <v/>
      </c>
      <c r="D18" s="16" t="inlineStr">
        <is>
          <t>Porsi VIP</t>
        </is>
      </c>
      <c r="E18" s="17" t="inlineStr">
        <is>
          <t>Disajikan khusus di ruang transit keluarga &amp; meja tamu VIP</t>
        </is>
      </c>
    </row>
    <row r="19">
      <c r="A19" s="23" t="inlineStr">
        <is>
          <t>Konsumsi Box Kru &amp; Vendor Standby</t>
        </is>
      </c>
      <c r="B19" s="57" t="n">
        <v>0.05</v>
      </c>
      <c r="C19" s="58">
        <f>ROUND($B$12*B19, 0)</f>
        <v/>
      </c>
      <c r="D19" s="16" t="inlineStr">
        <is>
          <t>Box Konsumsi</t>
        </is>
      </c>
      <c r="E19" s="17" t="inlineStr">
        <is>
          <t>Disiapkan box makanan praktis sebelum acara dimulai</t>
        </is>
      </c>
    </row>
    <row r="20"/>
    <row r="21">
      <c r="A21" s="2" t="inlineStr">
        <is>
          <t>3. ESTIMASI FASILITAS &amp; LOGISTIK TAMU (FORMULA WO):</t>
        </is>
      </c>
    </row>
    <row r="22" ht="24" customHeight="1">
      <c r="A22" s="50" t="inlineStr">
        <is>
          <t>Item Fasilitas Tamu</t>
        </is>
      </c>
      <c r="B22" s="50" t="inlineStr">
        <is>
          <t>Formula Kebutuhan</t>
        </is>
      </c>
      <c r="C22" s="50" t="inlineStr">
        <is>
          <t>Satuan</t>
        </is>
      </c>
      <c r="D22" s="50" t="inlineStr">
        <is>
          <t>Keterangan Logistik</t>
        </is>
      </c>
    </row>
    <row r="23">
      <c r="A23" s="23" t="inlineStr">
        <is>
          <t>Kebutuhan Air Mineral &amp; Minuman Tamu</t>
        </is>
      </c>
      <c r="B23" s="21">
        <f>ROUND($B$12*1.5, 0)</f>
        <v/>
      </c>
      <c r="C23" s="16" t="inlineStr">
        <is>
          <t>Gelas / Botol</t>
        </is>
      </c>
      <c r="D23" s="49" t="inlineStr">
        <is>
          <t>Rata-rata konsumsi minuman 1.5 cup per orang</t>
        </is>
      </c>
    </row>
    <row r="24">
      <c r="A24" s="23" t="inlineStr">
        <is>
          <t>Kebutuhan Meja Bundar VIP (10 Pax)</t>
        </is>
      </c>
      <c r="B24" s="21">
        <f>ROUNDUP($B$12*0.15/10, 0)</f>
        <v/>
      </c>
      <c r="C24" s="16" t="inlineStr">
        <is>
          <t>Unit Meja</t>
        </is>
      </c>
      <c r="D24" s="49" t="inlineStr">
        <is>
          <t>Untuk alokasi 15% tamu duduk di meja VIP</t>
        </is>
      </c>
    </row>
    <row r="25">
      <c r="A25" s="23" t="inlineStr">
        <is>
          <t>Estimasi Kursi Duduk (Standing Party 70%)</t>
        </is>
      </c>
      <c r="B25" s="21">
        <f>ROUNDUP($B$12*0.70, 0)</f>
        <v/>
      </c>
      <c r="C25" s="16" t="inlineStr">
        <is>
          <t>Unit Kursi</t>
        </is>
      </c>
      <c r="D25" s="49" t="inlineStr">
        <is>
          <t>Kebutuhan kursi ballroom dengan rasio flow 70%</t>
        </is>
      </c>
    </row>
    <row r="26">
      <c r="A26" s="23" t="inlineStr">
        <is>
          <t>Estimasi Kapasitas Parkir Kendaraan Tamu</t>
        </is>
      </c>
      <c r="B26" s="21">
        <f>ROUNDUP($B$12*0.35, 0)</f>
        <v/>
      </c>
      <c r="C26" s="16" t="inlineStr">
        <is>
          <t>Slot Mobil</t>
        </is>
      </c>
      <c r="D26" s="49" t="inlineStr">
        <is>
          <t>Asumsi 1 mobil berisi 2.5 - 3 orang tamu</t>
        </is>
      </c>
    </row>
    <row r="27"/>
    <row r="28">
      <c r="A28" s="2" t="inlineStr">
        <is>
          <t>4. SIMULASI ANGGARAN KATERING OTOMATIS:</t>
        </is>
      </c>
    </row>
    <row r="29" ht="24" customHeight="1">
      <c r="A29" s="51" t="inlineStr">
        <is>
          <t>Item Simulasi</t>
        </is>
      </c>
      <c r="B29" s="51" t="inlineStr">
        <is>
          <t>Nilai / Formula</t>
        </is>
      </c>
      <c r="C29" s="51" t="inlineStr">
        <is>
          <t>Satuan</t>
        </is>
      </c>
      <c r="D29" s="51" t="inlineStr">
        <is>
          <t>Keterangan</t>
        </is>
      </c>
    </row>
    <row r="30">
      <c r="A30" s="17" t="inlineStr">
        <is>
          <t>Estimasi Harga Paket Prasmanan per Pax</t>
        </is>
      </c>
      <c r="B30" s="59" t="n">
        <v>95000</v>
      </c>
      <c r="C30" s="16" t="inlineStr">
        <is>
          <t>Rp / Pax</t>
        </is>
      </c>
      <c r="D30" s="49" t="inlineStr">
        <is>
          <t>Ubah sesuai penawaran vendor katering</t>
        </is>
      </c>
    </row>
    <row r="31">
      <c r="A31" s="17" t="inlineStr">
        <is>
          <t>Estimasi Harga Rata-rata Stall per Porsi</t>
        </is>
      </c>
      <c r="B31" s="59" t="n">
        <v>25000</v>
      </c>
      <c r="C31" s="16" t="inlineStr">
        <is>
          <t>Rp / Porsi</t>
        </is>
      </c>
      <c r="D31" s="49" t="inlineStr">
        <is>
          <t>Ubah sesuai variasi gubukan</t>
        </is>
      </c>
    </row>
    <row r="32">
      <c r="A32" s="17" t="inlineStr">
        <is>
          <t>Subtotal Biaya Prasmanan (Buffet)</t>
        </is>
      </c>
      <c r="B32" s="41">
        <f>C16*B30</f>
        <v/>
      </c>
      <c r="C32" s="16" t="inlineStr">
        <is>
          <t>Rp</t>
        </is>
      </c>
      <c r="D32" s="49" t="inlineStr">
        <is>
          <t>Porsi Buffet x Harga per Pax</t>
        </is>
      </c>
    </row>
    <row r="33">
      <c r="A33" s="17" t="inlineStr">
        <is>
          <t>Subtotal Biaya Food Stalls (Gubukan)</t>
        </is>
      </c>
      <c r="B33" s="41">
        <f>C17*B31</f>
        <v/>
      </c>
      <c r="C33" s="16" t="inlineStr">
        <is>
          <t>Rp</t>
        </is>
      </c>
      <c r="D33" s="49" t="inlineStr">
        <is>
          <t>Porsi Stall x Harga per Porsi</t>
        </is>
      </c>
    </row>
    <row r="34">
      <c r="A34" s="23" t="inlineStr">
        <is>
          <t>TOTAL ESTIMASI BIAYA KATERING</t>
        </is>
      </c>
      <c r="B34" s="60">
        <f>SUM(B32:B33)</f>
        <v/>
      </c>
      <c r="C34" s="16" t="inlineStr">
        <is>
          <t>Rp</t>
        </is>
      </c>
      <c r="D34" s="49" t="inlineStr">
        <is>
          <t>Total proyeksi belanja katering</t>
        </is>
      </c>
    </row>
    <row r="35">
      <c r="A35" s="23" t="inlineStr">
        <is>
          <t>BIAYA KATERING PER TAMU (FOOD COST/PAX)</t>
        </is>
      </c>
      <c r="B35" s="41">
        <f>ROUND(B34/$B$12, 0)</f>
        <v/>
      </c>
      <c r="C35" s="16" t="inlineStr">
        <is>
          <t>Rp / Tamu</t>
        </is>
      </c>
      <c r="D35" s="49" t="inlineStr">
        <is>
          <t>Rasio biaya makanan per orang</t>
        </is>
      </c>
    </row>
    <row r="36"/>
    <row r="37">
      <c r="A37" s="2" t="inlineStr">
        <is>
          <t>5. ANALISIS SENSITIVITAS KEHADIRAN TAMU (3 SKENARIO BIAYA):</t>
        </is>
      </c>
    </row>
    <row r="38" ht="24" customHeight="1">
      <c r="A38" s="37" t="inlineStr">
        <is>
          <t>Skenario Kehadiran</t>
        </is>
      </c>
      <c r="B38" s="37" t="inlineStr">
        <is>
          <t>Faktor Multiplier</t>
        </is>
      </c>
      <c r="C38" s="37" t="inlineStr">
        <is>
          <t>Proyeksi Tamu (Pax)</t>
        </is>
      </c>
      <c r="D38" s="37" t="inlineStr">
        <is>
          <t>Estimasi Total Biaya Katering (Rp)</t>
        </is>
      </c>
      <c r="E38" s="37" t="inlineStr">
        <is>
          <t>Dampak Anggaran</t>
        </is>
      </c>
    </row>
    <row r="39">
      <c r="A39" s="23" t="inlineStr">
        <is>
          <t>Skenario Minimalis (Kehadiran Rendah)</t>
        </is>
      </c>
      <c r="B39" s="57" t="n">
        <v>0.8</v>
      </c>
      <c r="C39" s="39">
        <f>ROUND($B$12*B39, 0)</f>
        <v/>
      </c>
      <c r="D39" s="41">
        <f>ROUND(B34*B39, 0)</f>
        <v/>
      </c>
      <c r="E39" s="49" t="inlineStr">
        <is>
          <t>Hemat 20% biaya katering</t>
        </is>
      </c>
    </row>
    <row r="40">
      <c r="A40" s="23" t="inlineStr">
        <is>
          <t>Skenario Target (Kehadiran Standar 100%)</t>
        </is>
      </c>
      <c r="B40" s="57" t="n">
        <v>1</v>
      </c>
      <c r="C40" s="39">
        <f>$B$12</f>
        <v/>
      </c>
      <c r="D40" s="41">
        <f>B34</f>
        <v/>
      </c>
      <c r="E40" s="49" t="inlineStr">
        <is>
          <t>Sesuai kalkulasi awal</t>
        </is>
      </c>
    </row>
    <row r="41">
      <c r="A41" s="23" t="inlineStr">
        <is>
          <t>Skenario Membludak (Kehadiran Tinggi)</t>
        </is>
      </c>
      <c r="B41" s="57" t="n">
        <v>1.2</v>
      </c>
      <c r="C41" s="39">
        <f>ROUND($B$12*B41, 0)</f>
        <v/>
      </c>
      <c r="D41" s="41">
        <f>ROUND(B34*B41, 0)</f>
        <v/>
      </c>
      <c r="E41" s="49" t="inlineStr">
        <is>
          <t>Perlu alokasi buffer dana darurat +20%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6" customWidth="1" min="1" max="1"/>
    <col width="23" customWidth="1" min="2" max="2"/>
    <col width="54" customWidth="1" min="3" max="3"/>
    <col width="27" customWidth="1" min="4" max="4"/>
    <col width="34" customWidth="1" min="5" max="5"/>
    <col width="19" customWidth="1" min="6" max="6"/>
    <col width="36" customWidth="1" min="7" max="7"/>
    <col width="33" customWidth="1" min="8" max="8"/>
  </cols>
  <sheetData>
    <row r="1" ht="36" customHeight="1">
      <c r="A1" s="1" t="inlineStr">
        <is>
          <t>MASTER CHECKLIST PERLENGKAPAN, LOGISTIK FISIK &amp; AMUNISI HARI-H</t>
        </is>
      </c>
    </row>
    <row r="2"/>
    <row r="3">
      <c r="A3" s="29" t="inlineStr">
        <is>
          <t>TOTAL ITEM PERLENGKAPAN</t>
        </is>
      </c>
      <c r="B3" s="7" t="n"/>
      <c r="C3" s="30" t="inlineStr">
        <is>
          <t>ITEM SUDAH SIAP</t>
        </is>
      </c>
      <c r="D3" s="7" t="n"/>
      <c r="E3" s="61" t="inlineStr">
        <is>
          <t>ITEM BELUM SIAP</t>
        </is>
      </c>
      <c r="F3" s="7" t="n"/>
      <c r="G3" s="32" t="inlineStr">
        <is>
          <t>PERSENTASE KESIAPAN LOGISTIK (%)</t>
        </is>
      </c>
      <c r="H3" s="7" t="n"/>
    </row>
    <row r="4">
      <c r="A4" s="33">
        <f>COUNTA(C7:C26)</f>
        <v/>
      </c>
      <c r="B4" s="7" t="n"/>
      <c r="C4" s="34">
        <f>COUNTIF(F7:F26, "Siap")</f>
        <v/>
      </c>
      <c r="D4" s="7" t="n"/>
      <c r="E4" s="62">
        <f>COUNTIF(F7:F26, "Belum Siap")</f>
        <v/>
      </c>
      <c r="F4" s="7" t="n"/>
      <c r="G4" s="63">
        <f>C4/A4</f>
        <v/>
      </c>
      <c r="H4" s="7" t="n"/>
    </row>
    <row r="5"/>
    <row r="6" ht="26" customHeight="1">
      <c r="A6" s="37" t="inlineStr">
        <is>
          <t>No.</t>
        </is>
      </c>
      <c r="B6" s="37" t="inlineStr">
        <is>
          <t>Kategori Logistik</t>
        </is>
      </c>
      <c r="C6" s="37" t="inlineStr">
        <is>
          <t>Nama Item Perlengkapan</t>
        </is>
      </c>
      <c r="D6" s="37" t="inlineStr">
        <is>
          <t>Penanggung Jawab (PIC)</t>
        </is>
      </c>
      <c r="E6" s="37" t="inlineStr">
        <is>
          <t>Kuantitas / Jumlah</t>
        </is>
      </c>
      <c r="F6" s="37" t="inlineStr">
        <is>
          <t>Status Kesiapan</t>
        </is>
      </c>
      <c r="G6" s="37" t="inlineStr">
        <is>
          <t>Lokasi Penyimpanan</t>
        </is>
      </c>
      <c r="H6" s="37" t="inlineStr">
        <is>
          <t>Catatan Khusus</t>
        </is>
      </c>
    </row>
    <row r="7">
      <c r="A7" s="16" t="n">
        <v>1</v>
      </c>
      <c r="B7" s="23" t="inlineStr">
        <is>
          <t>Dokumen &amp; Finansial</t>
        </is>
      </c>
      <c r="C7" s="17" t="inlineStr">
        <is>
          <t>Buku Nikah / Akta Resmi &amp; Surat Izin Keramaian</t>
        </is>
      </c>
      <c r="D7" s="17" t="inlineStr">
        <is>
          <t>Keluarga Inti &amp; WO</t>
        </is>
      </c>
      <c r="E7" s="16" t="inlineStr">
        <is>
          <t>1 Set Lengkap</t>
        </is>
      </c>
      <c r="F7" s="16" t="inlineStr">
        <is>
          <t>Siap</t>
        </is>
      </c>
      <c r="G7" s="17" t="inlineStr">
        <is>
          <t>Tas Khusus Dokumen</t>
        </is>
      </c>
      <c r="H7" s="49" t="inlineStr">
        <is>
          <t>Wajib dibawa saat prosesi</t>
        </is>
      </c>
    </row>
    <row r="8">
      <c r="A8" s="16" t="n">
        <v>2</v>
      </c>
      <c r="B8" s="23" t="inlineStr">
        <is>
          <t>Dokumen &amp; Finansial</t>
        </is>
      </c>
      <c r="C8" s="17" t="inlineStr">
        <is>
          <t>Cincin Kawin &amp; Box Mahar / Seserahan</t>
        </is>
      </c>
      <c r="D8" s="17" t="inlineStr">
        <is>
          <t>Pendamping Pengantin</t>
        </is>
      </c>
      <c r="E8" s="16" t="inlineStr">
        <is>
          <t>1 Box Mahar</t>
        </is>
      </c>
      <c r="F8" s="16" t="inlineStr">
        <is>
          <t>Siap</t>
        </is>
      </c>
      <c r="G8" s="17" t="inlineStr">
        <is>
          <t>Safety Box Hotel</t>
        </is>
      </c>
      <c r="H8" s="49" t="inlineStr">
        <is>
          <t>Kunci dipegang pendamping</t>
        </is>
      </c>
    </row>
    <row r="9">
      <c r="A9" s="16" t="n">
        <v>3</v>
      </c>
      <c r="B9" s="23" t="inlineStr">
        <is>
          <t>Dokumen &amp; Finansial</t>
        </is>
      </c>
      <c r="C9" s="17" t="inlineStr">
        <is>
          <t>Amplop Honor / Tip Vendor Hari-H</t>
        </is>
      </c>
      <c r="D9" s="17" t="inlineStr">
        <is>
          <t>Bendahara Keluarga</t>
        </is>
      </c>
      <c r="E9" s="16" t="inlineStr">
        <is>
          <t>5 Amplop Tunai</t>
        </is>
      </c>
      <c r="F9" s="16" t="inlineStr">
        <is>
          <t>Belum Siap</t>
        </is>
      </c>
      <c r="G9" s="17" t="inlineStr">
        <is>
          <t>Tas Bendahara</t>
        </is>
      </c>
      <c r="H9" s="49" t="inlineStr">
        <is>
          <t>Pemberian pasca loading out</t>
        </is>
      </c>
    </row>
    <row r="10">
      <c r="A10" s="16" t="n">
        <v>4</v>
      </c>
      <c r="B10" s="23" t="inlineStr">
        <is>
          <t>Dokumen &amp; Finansial</t>
        </is>
      </c>
      <c r="C10" s="17" t="inlineStr">
        <is>
          <t>Kotak Angpao &amp; Gembok Pengaman Cadangan</t>
        </is>
      </c>
      <c r="D10" s="17" t="inlineStr">
        <is>
          <t>Seksi Logistik</t>
        </is>
      </c>
      <c r="E10" s="16" t="inlineStr">
        <is>
          <t>2 Kotak + 4 Kunci</t>
        </is>
      </c>
      <c r="F10" s="16" t="inlineStr">
        <is>
          <t>Siap</t>
        </is>
      </c>
      <c r="G10" s="17" t="inlineStr">
        <is>
          <t>Meja Penerima Tamu</t>
        </is>
      </c>
      <c r="H10" s="49" t="inlineStr">
        <is>
          <t>Kunci diserahkan ke keluarga</t>
        </is>
      </c>
    </row>
    <row r="11">
      <c r="A11" s="16" t="n">
        <v>5</v>
      </c>
      <c r="B11" s="23" t="inlineStr">
        <is>
          <t>Busana &amp; Rias</t>
        </is>
      </c>
      <c r="C11" s="17" t="inlineStr">
        <is>
          <t>Baju Pengantin Utama (Akad/Resepsi)</t>
        </is>
      </c>
      <c r="D11" s="17" t="inlineStr">
        <is>
          <t>Pengantin &amp; MUA</t>
        </is>
      </c>
      <c r="E11" s="16" t="inlineStr">
        <is>
          <t>2 Pasang Busana</t>
        </is>
      </c>
      <c r="F11" s="16" t="inlineStr">
        <is>
          <t>Siap</t>
        </is>
      </c>
      <c r="G11" s="17" t="inlineStr">
        <is>
          <t>Kamar Pengantin</t>
        </is>
      </c>
      <c r="H11" s="49" t="inlineStr">
        <is>
          <t>Sudah final fitting</t>
        </is>
      </c>
    </row>
    <row r="12">
      <c r="A12" s="16" t="n">
        <v>6</v>
      </c>
      <c r="B12" s="23" t="inlineStr">
        <is>
          <t>Busana &amp; Rias</t>
        </is>
      </c>
      <c r="C12" s="17" t="inlineStr">
        <is>
          <t>Sepatu Pengantin &amp; Sandal Cadangan Nyaman</t>
        </is>
      </c>
      <c r="D12" s="17" t="inlineStr">
        <is>
          <t>Pengantin</t>
        </is>
      </c>
      <c r="E12" s="16" t="inlineStr">
        <is>
          <t>2 Pasang</t>
        </is>
      </c>
      <c r="F12" s="16" t="inlineStr">
        <is>
          <t>Siap</t>
        </is>
      </c>
      <c r="G12" s="17" t="inlineStr">
        <is>
          <t>Kamar Ganti Venue</t>
        </is>
      </c>
      <c r="H12" s="49" t="inlineStr">
        <is>
          <t>Pastikan sol sepatu anti slip</t>
        </is>
      </c>
    </row>
    <row r="13">
      <c r="A13" s="16" t="n">
        <v>7</v>
      </c>
      <c r="B13" s="23" t="inlineStr">
        <is>
          <t>Busana &amp; Rias</t>
        </is>
      </c>
      <c r="C13" s="17" t="inlineStr">
        <is>
          <t>Aksesoris Busana, Dasi, Manset &amp; Kaos Kaki</t>
        </is>
      </c>
      <c r="D13" s="17" t="inlineStr">
        <is>
          <t>Asisten Wardrobe</t>
        </is>
      </c>
      <c r="E13" s="16" t="inlineStr">
        <is>
          <t>1 Set Komplit</t>
        </is>
      </c>
      <c r="F13" s="16" t="inlineStr">
        <is>
          <t>Siap</t>
        </is>
      </c>
      <c r="G13" s="17" t="inlineStr">
        <is>
          <t>Koper Wardrobe</t>
        </is>
      </c>
      <c r="H13" s="49" t="inlineStr">
        <is>
          <t>Cek kancing cadangan</t>
        </is>
      </c>
    </row>
    <row r="14">
      <c r="A14" s="16" t="n">
        <v>8</v>
      </c>
      <c r="B14" s="23" t="inlineStr">
        <is>
          <t>Busana &amp; Rias</t>
        </is>
      </c>
      <c r="C14" s="17" t="inlineStr">
        <is>
          <t>P3K Darurat, Obat Pribadi, Plester &amp; Parasetamol</t>
        </is>
      </c>
      <c r="D14" s="17" t="inlineStr">
        <is>
          <t>Tim Medis Keluarga</t>
        </is>
      </c>
      <c r="E14" s="16" t="inlineStr">
        <is>
          <t>1 Pouch Lengkap</t>
        </is>
      </c>
      <c r="F14" s="16" t="inlineStr">
        <is>
          <t>Siap</t>
        </is>
      </c>
      <c r="G14" s="17" t="inlineStr">
        <is>
          <t>Foyer Ruang Rias</t>
        </is>
      </c>
      <c r="H14" s="49" t="inlineStr">
        <is>
          <t>Siapkan minyak kayu putih</t>
        </is>
      </c>
    </row>
    <row r="15">
      <c r="A15" s="16" t="n">
        <v>9</v>
      </c>
      <c r="B15" s="23" t="inlineStr">
        <is>
          <t>Busana &amp; Rias</t>
        </is>
      </c>
      <c r="C15" s="17" t="inlineStr">
        <is>
          <t>Touch-up Makeup Kit &amp; Hair Spray Cadangan</t>
        </is>
      </c>
      <c r="D15" s="17" t="inlineStr">
        <is>
          <t>Tim MUA</t>
        </is>
      </c>
      <c r="E15" s="16" t="inlineStr">
        <is>
          <t>1 Pouch Rias</t>
        </is>
      </c>
      <c r="F15" s="16" t="inlineStr">
        <is>
          <t>Siap</t>
        </is>
      </c>
      <c r="G15" s="17" t="inlineStr">
        <is>
          <t>Backstage</t>
        </is>
      </c>
      <c r="H15" s="49" t="inlineStr">
        <is>
          <t>Standby selama sesi kirab</t>
        </is>
      </c>
    </row>
    <row r="16">
      <c r="A16" s="16" t="n">
        <v>10</v>
      </c>
      <c r="B16" s="23" t="inlineStr">
        <is>
          <t>Resepsi &amp; Tamu</t>
        </is>
      </c>
      <c r="C16" s="17" t="inlineStr">
        <is>
          <t>Buku Tamu / E-Guestbook Tablet Scanner</t>
        </is>
      </c>
      <c r="D16" s="17" t="inlineStr">
        <is>
          <t>Seksi Penerima Tamu</t>
        </is>
      </c>
      <c r="E16" s="16" t="inlineStr">
        <is>
          <t>4 Buku / 2 Tablet</t>
        </is>
      </c>
      <c r="F16" s="16" t="inlineStr">
        <is>
          <t>Siap</t>
        </is>
      </c>
      <c r="G16" s="17" t="inlineStr">
        <is>
          <t>Foyer Ballroom</t>
        </is>
      </c>
      <c r="H16" s="49" t="inlineStr">
        <is>
          <t>Uji koneksi charger tablet</t>
        </is>
      </c>
    </row>
    <row r="17">
      <c r="A17" s="16" t="n">
        <v>11</v>
      </c>
      <c r="B17" s="23" t="inlineStr">
        <is>
          <t>Resepsi &amp; Tamu</t>
        </is>
      </c>
      <c r="C17" s="17" t="inlineStr">
        <is>
          <t>Pulpen Emas &amp; Spidol Tanda Tangan</t>
        </is>
      </c>
      <c r="D17" s="17" t="inlineStr">
        <is>
          <t>Seksi Penerima Tamu</t>
        </is>
      </c>
      <c r="E17" s="16" t="inlineStr">
        <is>
          <t>10 Buah</t>
        </is>
      </c>
      <c r="F17" s="16" t="inlineStr">
        <is>
          <t>Siap</t>
        </is>
      </c>
      <c r="G17" s="17" t="inlineStr">
        <is>
          <t>Meja Registrasi</t>
        </is>
      </c>
      <c r="H17" s="49" t="inlineStr">
        <is>
          <t>Cek tinta tidak macet</t>
        </is>
      </c>
    </row>
    <row r="18">
      <c r="A18" s="16" t="n">
        <v>12</v>
      </c>
      <c r="B18" s="23" t="inlineStr">
        <is>
          <t>Resepsi &amp; Tamu</t>
        </is>
      </c>
      <c r="C18" s="17" t="inlineStr">
        <is>
          <t>Souvenir Tamu &amp; Paperbag Cadangan</t>
        </is>
      </c>
      <c r="D18" s="17" t="inlineStr">
        <is>
          <t>Tim Souvenir WO</t>
        </is>
      </c>
      <c r="E18" s="16" t="inlineStr">
        <is>
          <t>425 Pcs</t>
        </is>
      </c>
      <c r="F18" s="16" t="inlineStr">
        <is>
          <t>Dalam Proses</t>
        </is>
      </c>
      <c r="G18" s="17" t="inlineStr">
        <is>
          <t>Gudang Transit Venue</t>
        </is>
      </c>
      <c r="H18" s="49" t="inlineStr">
        <is>
          <t>Sortir sesuai kategori VIP</t>
        </is>
      </c>
    </row>
    <row r="19">
      <c r="A19" s="16" t="n">
        <v>13</v>
      </c>
      <c r="B19" s="23" t="inlineStr">
        <is>
          <t>Resepsi &amp; Tamu</t>
        </is>
      </c>
      <c r="C19" s="17" t="inlineStr">
        <is>
          <t>Nomor Meja VIP &amp; Signage Meja Keluarga</t>
        </is>
      </c>
      <c r="D19" s="17" t="inlineStr">
        <is>
          <t>Tim Dekorasi</t>
        </is>
      </c>
      <c r="E19" s="16" t="inlineStr">
        <is>
          <t>15 Akrilik Meja</t>
        </is>
      </c>
      <c r="F19" s="16" t="inlineStr">
        <is>
          <t>Siap</t>
        </is>
      </c>
      <c r="G19" s="17" t="inlineStr">
        <is>
          <t>Meja Bundar VIP</t>
        </is>
      </c>
      <c r="H19" s="49" t="inlineStr">
        <is>
          <t>Pasang nama keluarga</t>
        </is>
      </c>
    </row>
    <row r="20">
      <c r="A20" s="16" t="n">
        <v>14</v>
      </c>
      <c r="B20" s="23" t="inlineStr">
        <is>
          <t>Resepsi &amp; Tamu</t>
        </is>
      </c>
      <c r="C20" s="17" t="inlineStr">
        <is>
          <t>Stand Barcode QRIS / Rekening Amplop Digital</t>
        </is>
      </c>
      <c r="D20" s="17" t="inlineStr">
        <is>
          <t>Panitia Finansial</t>
        </is>
      </c>
      <c r="E20" s="16" t="inlineStr">
        <is>
          <t>2 Akrilik Stand</t>
        </is>
      </c>
      <c r="F20" s="16" t="inlineStr">
        <is>
          <t>Siap</t>
        </is>
      </c>
      <c r="G20" s="17" t="inlineStr">
        <is>
          <t>Meja Buku Tamu</t>
        </is>
      </c>
      <c r="H20" s="49" t="inlineStr">
        <is>
          <t>Uji scan barcode aktif</t>
        </is>
      </c>
    </row>
    <row r="21">
      <c r="A21" s="16" t="n">
        <v>15</v>
      </c>
      <c r="B21" s="23" t="inlineStr">
        <is>
          <t>Teknis &amp; Multimedia</t>
        </is>
      </c>
      <c r="C21" s="17" t="inlineStr">
        <is>
          <t>Flashdisk Master Video Slideshow &amp; Foto Prewedding</t>
        </is>
      </c>
      <c r="D21" s="17" t="inlineStr">
        <is>
          <t>Operator Multimedia</t>
        </is>
      </c>
      <c r="E21" s="16" t="inlineStr">
        <is>
          <t>2 Flashdisk (Backup)</t>
        </is>
      </c>
      <c r="F21" s="16" t="inlineStr">
        <is>
          <t>Siap</t>
        </is>
      </c>
      <c r="G21" s="17" t="inlineStr">
        <is>
          <t>Meja FOH Audio Video</t>
        </is>
      </c>
      <c r="H21" s="49" t="inlineStr">
        <is>
          <t>Format MP4 1080p tested</t>
        </is>
      </c>
    </row>
    <row r="22">
      <c r="A22" s="16" t="n">
        <v>16</v>
      </c>
      <c r="B22" s="23" t="inlineStr">
        <is>
          <t>Teknis &amp; Multimedia</t>
        </is>
      </c>
      <c r="C22" s="17" t="inlineStr">
        <is>
          <t>Flashdisk Lagu Kirab &amp; Backsound Playlist</t>
        </is>
      </c>
      <c r="D22" s="17" t="inlineStr">
        <is>
          <t>Operator Musik &amp; Band</t>
        </is>
      </c>
      <c r="E22" s="16" t="inlineStr">
        <is>
          <t>2 Flashdisk USB</t>
        </is>
      </c>
      <c r="F22" s="16" t="inlineStr">
        <is>
          <t>Siap</t>
        </is>
      </c>
      <c r="G22" s="17" t="inlineStr">
        <is>
          <t>Sound Console</t>
        </is>
      </c>
      <c r="H22" s="49" t="inlineStr">
        <is>
          <t>Urutan lagu kirab teruji</t>
        </is>
      </c>
    </row>
    <row r="23">
      <c r="A23" s="16" t="n">
        <v>17</v>
      </c>
      <c r="B23" s="23" t="inlineStr">
        <is>
          <t>Teknis &amp; Multimedia</t>
        </is>
      </c>
      <c r="C23" s="17" t="inlineStr">
        <is>
          <t>Hardcopy Master Rundown Acara Lengkap</t>
        </is>
      </c>
      <c r="D23" s="17" t="inlineStr">
        <is>
          <t>Koordinator Lapangan WO</t>
        </is>
      </c>
      <c r="E23" s="16" t="inlineStr">
        <is>
          <t>10 Rangkap Laminasi</t>
        </is>
      </c>
      <c r="F23" s="16" t="inlineStr">
        <is>
          <t>Siap</t>
        </is>
      </c>
      <c r="G23" s="17" t="inlineStr">
        <is>
          <t>Ruang Briefing Panitia</t>
        </is>
      </c>
      <c r="H23" s="49" t="inlineStr">
        <is>
          <t>Dibagikan saat briefing pagi</t>
        </is>
      </c>
    </row>
    <row r="24">
      <c r="A24" s="16" t="n">
        <v>18</v>
      </c>
      <c r="B24" s="23" t="inlineStr">
        <is>
          <t>Teknis &amp; Multimedia</t>
        </is>
      </c>
      <c r="C24" s="17" t="inlineStr">
        <is>
          <t>Baterai Cadangan Wireless Mic (AA/9V)</t>
        </is>
      </c>
      <c r="D24" s="17" t="inlineStr">
        <is>
          <t>Teknisi Sound System</t>
        </is>
      </c>
      <c r="E24" s="16" t="inlineStr">
        <is>
          <t>8 Pasang Baterai Baru</t>
        </is>
      </c>
      <c r="F24" s="16" t="inlineStr">
        <is>
          <t>Siap</t>
        </is>
      </c>
      <c r="G24" s="17" t="inlineStr">
        <is>
          <t>FOH Sound Engineer</t>
        </is>
      </c>
      <c r="H24" s="49" t="inlineStr">
        <is>
          <t>Baterai baru segel</t>
        </is>
      </c>
    </row>
    <row r="25">
      <c r="A25" s="16" t="n">
        <v>19</v>
      </c>
      <c r="B25" s="23" t="inlineStr">
        <is>
          <t>Teknis &amp; Multimedia</t>
        </is>
      </c>
      <c r="C25" s="17" t="inlineStr">
        <is>
          <t>Lakban Hitam, Gunting, Cutter &amp; Kabel Rol</t>
        </is>
      </c>
      <c r="D25" s="17" t="inlineStr">
        <is>
          <t>Seksi Perlengkapan</t>
        </is>
      </c>
      <c r="E25" s="16" t="inlineStr">
        <is>
          <t>1 Toolkit Lengkap</t>
        </is>
      </c>
      <c r="F25" s="16" t="inlineStr">
        <is>
          <t>Siap</t>
        </is>
      </c>
      <c r="G25" s="17" t="inlineStr">
        <is>
          <t>Gudang Logistik WO</t>
        </is>
      </c>
      <c r="H25" s="49" t="inlineStr">
        <is>
          <t>Peralatan serba guna</t>
        </is>
      </c>
    </row>
    <row r="26">
      <c r="A26" s="16" t="n">
        <v>20</v>
      </c>
      <c r="B26" s="23" t="inlineStr">
        <is>
          <t>Teknis &amp; Multimedia</t>
        </is>
      </c>
      <c r="C26" s="17" t="inlineStr">
        <is>
          <t>Handy Talky (HT) &amp; Earpiece Panitia</t>
        </is>
      </c>
      <c r="D26" s="17" t="inlineStr">
        <is>
          <t>Seksi Keamanan &amp; WO</t>
        </is>
      </c>
      <c r="E26" s="16" t="inlineStr">
        <is>
          <t>8 Unit Terisi Penuh</t>
        </is>
      </c>
      <c r="F26" s="16" t="inlineStr">
        <is>
          <t>Dalam Proses</t>
        </is>
      </c>
      <c r="G26" s="17" t="inlineStr">
        <is>
          <t>Sekretariat Panitia</t>
        </is>
      </c>
      <c r="H26" s="49" t="inlineStr">
        <is>
          <t>Frekuensi disamakan</t>
        </is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F7:F26">
    <cfRule type="cellIs" priority="1" operator="equal" dxfId="0">
      <formula>"Siap"</formula>
    </cfRule>
    <cfRule type="cellIs" priority="2" operator="equal" dxfId="1">
      <formula>"Belum Siap"</formula>
    </cfRule>
    <cfRule type="cellIs" priority="3" operator="equal" dxfId="2">
      <formula>"Dalam Proses"</formula>
    </cfRule>
  </conditionalFormatting>
  <dataValidations count="1">
    <dataValidation sqref="F7:F26" showDropDown="0" showInputMessage="0" showErrorMessage="0" allowBlank="1" type="list">
      <formula1>"Siap,Belum Siap,Dalam Proses,Tidak Perlu"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2026-09-06T15:24:35Z</dcterms:created>
  <dcterms:modified xsi:type="dcterms:W3CDTF">2026-09-06T15:24:35Z</dcterms:modified>
</cp:coreProperties>
</file>