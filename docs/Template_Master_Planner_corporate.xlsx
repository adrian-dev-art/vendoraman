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 &amp; Bayar" sheetId="2" state="visible" r:id="rId2"/>
    <sheet name="Direktori Vendor &amp; PIC" sheetId="3" state="visible" r:id="rId3"/>
    <sheet name="Jadwal &amp; Rundown" sheetId="4" state="visible" r:id="rId4"/>
    <sheet name="Hitung Katering" sheetId="5" state="visible" r:id="rId5"/>
    <sheet name="Daftar Barang" sheetId="6" state="visible" r:id="rId6"/>
    <sheet name="Tabu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Rp &quot; #,##0"/>
    <numFmt numFmtId="165" formatCode="0.0%"/>
    <numFmt numFmtId="166" formatCode="yyyy-mm-dd"/>
    <numFmt numFmtId="167" formatCode="DD MMMM YYYY"/>
    <numFmt numFmtId="168" formatCode="0.0 &quot;★&quot;"/>
    <numFmt numFmtId="169" formatCode="#,##0&quot; HARI LAGI&quot;"/>
    <numFmt numFmtId="170" formatCode="0.0"/>
    <numFmt numFmtId="171" formatCode="0&quot; hari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B1F3B"/>
      <sz val="10"/>
    </font>
    <font>
      <name val="Calibri"/>
      <b val="1"/>
      <color rgb="00856404"/>
      <sz val="9"/>
    </font>
    <font>
      <name val="Calibri"/>
      <b val="1"/>
      <color rgb="000F5132"/>
      <sz val="9"/>
    </font>
    <font>
      <name val="Calibri"/>
      <b val="1"/>
      <color rgb="001B1F3B"/>
      <sz val="9"/>
    </font>
    <font>
      <name val="Calibri"/>
      <b val="1"/>
      <color rgb="004B4F72"/>
      <sz val="9"/>
    </font>
    <font>
      <name val="Calibri"/>
      <b val="1"/>
      <color rgb="001B1F3B"/>
      <sz val="15"/>
    </font>
    <font>
      <name val="Calibri"/>
      <color rgb="001B1F3B"/>
      <sz val="10"/>
    </font>
    <font>
      <name val="Calibri"/>
      <b val="1"/>
      <color rgb="00FFFFFF"/>
      <sz val="10"/>
    </font>
    <font>
      <name val="Calibri"/>
      <i val="1"/>
      <color rgb="004B4F72"/>
      <sz val="9"/>
    </font>
    <font>
      <name val="Calibri"/>
      <color rgb="000000EE"/>
      <sz val="10"/>
      <u val="single"/>
    </font>
    <font>
      <name val="Calibri"/>
      <b val="1"/>
      <color rgb="00FFFFFF"/>
      <sz val="15"/>
    </font>
    <font>
      <name val="Calibri"/>
      <color rgb="004B4F72"/>
      <sz val="10"/>
    </font>
    <font>
      <name val="Calibri"/>
      <b val="1"/>
      <color rgb="00FFFFFF"/>
      <sz val="11"/>
    </font>
    <font>
      <name val="Calibri"/>
      <color rgb="004B4F72"/>
      <sz val="8"/>
    </font>
    <font>
      <name val="Calibri"/>
      <b val="1"/>
      <color rgb="004B4F72"/>
      <sz val="8"/>
    </font>
    <font>
      <name val="Calibri"/>
      <sz val="9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1B1F3B"/>
        <bgColor rgb="001B1F3B"/>
      </patternFill>
    </fill>
    <fill>
      <patternFill patternType="solid">
        <fgColor rgb="00FFF2CC"/>
        <bgColor rgb="00FFF2CC"/>
      </patternFill>
    </fill>
    <fill>
      <patternFill patternType="solid">
        <fgColor rgb="00D1E7DD"/>
        <bgColor rgb="00D1E7DD"/>
      </patternFill>
    </fill>
    <fill>
      <patternFill patternType="solid">
        <fgColor rgb="00F5EFE0"/>
        <bgColor rgb="00F5EFE0"/>
      </patternFill>
    </fill>
    <fill>
      <patternFill patternType="solid">
        <fgColor rgb="00F8FAF6"/>
        <bgColor rgb="00F8FAF6"/>
      </patternFill>
    </fill>
    <fill>
      <patternFill patternType="solid">
        <fgColor rgb="00FFF3CD"/>
        <bgColor rgb="00FFF3CD"/>
      </patternFill>
    </fill>
    <fill>
      <patternFill patternType="solid">
        <fgColor rgb="00D9A441"/>
        <bgColor rgb="00D9A441"/>
      </patternFill>
    </fill>
    <fill>
      <patternFill patternType="solid">
        <fgColor rgb="00B23A5D"/>
        <bgColor rgb="00B23A5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171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" fontId="18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8" fillId="6" borderId="1" pivotButton="0" quotePrefix="0" xfId="0"/>
    <xf numFmtId="164" fontId="18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5" fontId="0" fillId="0" borderId="1" applyAlignment="1" pivotButton="0" quotePrefix="0" xfId="0">
      <alignment horizontal="center"/>
    </xf>
    <xf numFmtId="3" fontId="0" fillId="0" borderId="1" pivotButton="0" quotePrefix="0" xfId="0"/>
    <xf numFmtId="3" fontId="2" fillId="3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165" fontId="2" fillId="6" borderId="1" pivotButton="0" quotePrefix="0" xfId="0"/>
    <xf numFmtId="3" fontId="2" fillId="6" borderId="1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2" fillId="0" borderId="1" pivotButton="0" quotePrefix="0" xfId="0"/>
    <xf numFmtId="164" fontId="0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70" fontId="2" fillId="3" borderId="1" pivotButton="0" quotePrefix="0" xfId="0"/>
    <xf numFmtId="9" fontId="2" fillId="3" borderId="1" pivotButton="0" quotePrefix="0" xfId="0"/>
    <xf numFmtId="3" fontId="2" fillId="4" borderId="1" pivotButton="0" quotePrefix="0" xfId="0"/>
    <xf numFmtId="9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3" borderId="1" pivotButton="0" quotePrefix="0" xfId="0"/>
    <xf numFmtId="164" fontId="2" fillId="4" borderId="1" pivotButton="0" quotePrefix="0" xfId="0"/>
    <xf numFmtId="0" fontId="6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4" fontId="2" fillId="0" borderId="0" pivotButton="0" quotePrefix="0" xfId="0"/>
    <xf numFmtId="164" fontId="2" fillId="3" borderId="1" applyAlignment="1" pivotButton="0" quotePrefix="0" xfId="0">
      <alignment horizontal="right"/>
    </xf>
    <xf numFmtId="0" fontId="8" fillId="3" borderId="1" pivotButton="0" quotePrefix="0" xfId="0"/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dxfs count="3">
    <dxf>
      <font>
        <b val="1"/>
        <color rgb="000F5132"/>
      </font>
      <fill>
        <patternFill patternType="solid">
          <fgColor rgb="00D1E7DD"/>
          <bgColor rgb="00D1E7DD"/>
        </patternFill>
      </fill>
    </dxf>
    <dxf>
      <font>
        <b val="1"/>
        <color rgb="00842029"/>
      </font>
      <fill>
        <patternFill patternType="solid">
          <fgColor rgb="00F8D7DA"/>
          <bgColor rgb="00F8D7DA"/>
        </patternFill>
      </fill>
    </dxf>
    <dxf>
      <font>
        <b val="1"/>
        <color rgb="00664D03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Target vs Realisasi per Kategori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&amp; Bayar'!D14</f>
            </strRef>
          </tx>
          <spPr>
            <a:solidFill>
              <a:srgbClr val="3FA7D6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Bayar'!$D$15:$D$19</f>
            </numRef>
          </val>
        </ser>
        <ser>
          <idx val="1"/>
          <order val="1"/>
          <tx>
            <strRef>
              <f>'Budget &amp; Bayar'!F14</f>
            </strRef>
          </tx>
          <spPr>
            <a:solidFill>
              <a:srgbClr val="1868B7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numFmt formatCode="&quot;Rp 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Alokasi Anggaran (%)</a:t>
            </a:r>
          </a:p>
        </rich>
      </tx>
    </title>
    <plotArea>
      <doughnutChart>
        <varyColors val="1"/>
        <ser>
          <idx val="0"/>
          <order val="0"/>
          <tx>
            <strRef>
              <f>'Budget &amp; Bayar'!C14</f>
            </strRef>
          </tx>
          <spPr>
            <a:solidFill>
              <a:srgbClr val="4F81BD"/>
            </a:solidFill>
            <a:ln>
              <a:noFill/>
              <a:prstDash val="solid"/>
            </a:ln>
          </spPr>
          <dPt>
            <idx val="0"/>
            <spPr>
              <a:solidFill>
                <a:srgbClr val="1B1F3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D9A441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B23A5D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5C7A5E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64748B"/>
              </a:solidFill>
              <a:ln>
                <a:noFill/>
                <a:prstDash val="solid"/>
              </a:ln>
            </spPr>
          </dPt>
          <dLbls>
            <showCatName val="1"/>
            <showPercent val="1"/>
            <showLeaderLines val="1"/>
          </dLbls>
          <cat>
            <numRef>
              <f>'Budget &amp; Bayar'!$B$15:$B$19</f>
            </numRef>
          </cat>
          <val>
            <numRef>
              <f>'Budget &amp; Bayar'!$C$15:$C$19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Persiapan Acara</a:t>
            </a:r>
          </a:p>
        </rich>
      </tx>
    </title>
    <plotArea>
      <barChart>
        <barDir val="bar"/>
        <grouping val="clustered"/>
        <ser>
          <idx val="0"/>
          <order val="0"/>
          <tx>
            <v>Jumlah</v>
          </tx>
          <spPr>
            <a:solidFill>
              <a:srgbClr val="B23A5D"/>
            </a:solidFill>
            <a:ln>
              <a:noFill/>
              <a:prstDash val="solid"/>
            </a:ln>
          </spPr>
          <cat>
            <numRef>
              <f>'Dashboard'!$Q$15:$Q$17</f>
            </numRef>
          </cat>
          <val>
            <numRef>
              <f>'Dashboard'!$R$15:$R$17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DISTRIBUSI STATUS PEMBAYARAN VENDOR</a:t>
            </a:r>
          </a:p>
        </rich>
      </tx>
    </title>
    <plotArea>
      <doughnutChart>
        <varyColors val="1"/>
        <ser>
          <idx val="0"/>
          <order val="0"/>
          <tx>
            <v>Jumlah</v>
          </tx>
          <spPr>
            <a:solidFill>
              <a:srgbClr val="4F81BD"/>
            </a:solidFill>
            <a:ln>
              <a:noFill/>
              <a:prstDash val="solid"/>
            </a:ln>
          </spPr>
          <dLbls>
            <showCatName val="1"/>
            <showPercent val="1"/>
            <showLeaderLines val="1"/>
          </dLbls>
          <cat>
            <numRef>
              <f>'Dashboard'!$Q$20:$Q$23</f>
            </numRef>
          </cat>
          <val>
            <numRef>
              <f>'Dashboard'!$R$20:$R$23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6281234567890" TargetMode="External" Id="rId1" /></Relationships>
</file>

<file path=xl/worksheets/sheet1.xml><?xml version="1.0" encoding="utf-8"?>
<worksheet xmlns="http://schemas.openxmlformats.org/spreadsheetml/2006/main">
  <sheetPr>
    <tabColor rgb="00D9A441"/>
    <outlinePr summaryBelow="1" summaryRight="1"/>
    <pageSetUpPr/>
  </sheetPr>
  <dimension ref="A1:R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5" max="5"/>
    <col width="14" customWidth="1" min="6" max="6"/>
    <col width="4" customWidth="1" min="10" max="10"/>
    <col width="14" customWidth="1" min="11" max="11"/>
    <col width="2" customWidth="1" min="16" max="16"/>
    <col width="20" customWidth="1" min="17" max="17"/>
    <col width="12" customWidth="1" min="18" max="18"/>
  </cols>
  <sheetData>
    <row r="1" ht="33.75" customHeight="1">
      <c r="A1" s="1" t="inlineStr">
        <is>
          <t>🏢 VENDORAMAN — DASHBOARD RINGKASAN ACARA</t>
        </is>
      </c>
    </row>
    <row r="2" ht="18" customHeight="1">
      <c r="A2" s="2">
        <f>'Budget &amp; Bayar'!B8&amp;" • "&amp;'Budget &amp; Bayar'!E8&amp;" • "&amp;TEXT('Budget &amp; Bayar'!B9,"DD MMMM YYYY")&amp;" • "&amp;'Budget &amp; Bayar'!E9&amp;" tamu"</f>
        <v/>
      </c>
    </row>
    <row r="4" ht="19.5" customHeight="1">
      <c r="A4" s="3" t="inlineStr">
        <is>
          <t>RINGKASAN KUNCI (KPI)</t>
        </is>
      </c>
    </row>
    <row r="5" ht="15.75" customHeight="1">
      <c r="A5" s="4" t="inlineStr">
        <is>
          <t>HARI MENUJU ACARA</t>
        </is>
      </c>
      <c r="B5" s="5" t="n"/>
      <c r="C5" s="5" t="n"/>
      <c r="D5" s="5" t="n"/>
      <c r="E5" s="5" t="n"/>
      <c r="F5" s="4" t="inlineStr">
        <is>
          <t>BUDGET TERPAKAI</t>
        </is>
      </c>
      <c r="G5" s="5" t="n"/>
      <c r="H5" s="5" t="n"/>
      <c r="I5" s="5" t="n"/>
      <c r="J5" s="5" t="n"/>
      <c r="K5" s="4" t="inlineStr">
        <is>
          <t>SISA UANG KAMU</t>
        </is>
      </c>
      <c r="L5" s="5" t="n"/>
      <c r="M5" s="5" t="n"/>
      <c r="N5" s="5" t="n"/>
    </row>
    <row r="6" ht="30" customHeight="1">
      <c r="A6" s="6">
        <f>'Jadwal &amp; Rundown'!A5</f>
        <v/>
      </c>
      <c r="B6" s="5" t="n"/>
      <c r="C6" s="5" t="n"/>
      <c r="D6" s="5" t="n"/>
      <c r="E6" s="5" t="n"/>
      <c r="F6" s="7">
        <f>'Budget &amp; Bayar'!G5</f>
        <v/>
      </c>
      <c r="G6" s="5" t="n"/>
      <c r="H6" s="5" t="n"/>
      <c r="I6" s="5" t="n"/>
      <c r="J6" s="5" t="n"/>
      <c r="K6" s="8">
        <f>'Budget &amp; Bayar'!E5</f>
        <v/>
      </c>
      <c r="L6" s="5" t="n"/>
      <c r="M6" s="5" t="n"/>
      <c r="N6" s="5" t="n"/>
    </row>
    <row r="7" ht="15.75" customHeight="1">
      <c r="A7" s="9" t="inlineStr">
        <is>
          <t>HITUNG MUNDUR OTOMATIS</t>
        </is>
      </c>
      <c r="B7" s="5" t="n"/>
      <c r="C7" s="5" t="n"/>
      <c r="D7" s="5" t="n"/>
      <c r="E7" s="5" t="n"/>
      <c r="F7" s="9" t="inlineStr">
        <is>
          <t>Dari batas budget maksimal</t>
        </is>
      </c>
      <c r="G7" s="5" t="n"/>
      <c r="H7" s="5" t="n"/>
      <c r="I7" s="5" t="n"/>
      <c r="J7" s="5" t="n"/>
      <c r="K7" s="9" t="inlineStr">
        <is>
          <t>Batas budget dikurangi realisasi</t>
        </is>
      </c>
      <c r="L7" s="5" t="n"/>
      <c r="M7" s="5" t="n"/>
      <c r="N7" s="5" t="n"/>
    </row>
    <row r="9" ht="15.75" customHeight="1">
      <c r="A9" s="4" t="inlineStr">
        <is>
          <t>PERSEN SIAP PERSIAPAN</t>
        </is>
      </c>
      <c r="B9" s="5" t="n"/>
      <c r="C9" s="5" t="n"/>
      <c r="D9" s="5" t="n"/>
      <c r="E9" s="5" t="n"/>
      <c r="F9" s="4" t="inlineStr">
        <is>
          <t>BARANG SUDAH SIAP</t>
        </is>
      </c>
      <c r="G9" s="5" t="n"/>
      <c r="H9" s="5" t="n"/>
      <c r="I9" s="5" t="n"/>
      <c r="J9" s="5" t="n"/>
      <c r="K9" s="4" t="inlineStr">
        <is>
          <t>TABUNGAN TERKUMPUL</t>
        </is>
      </c>
      <c r="L9" s="5" t="n"/>
      <c r="M9" s="5" t="n"/>
      <c r="N9" s="5" t="n"/>
    </row>
    <row r="10" ht="30" customHeight="1">
      <c r="A10" s="7">
        <f>'Jadwal &amp; Rundown'!I5</f>
        <v/>
      </c>
      <c r="B10" s="5" t="n"/>
      <c r="C10" s="5" t="n"/>
      <c r="D10" s="5" t="n"/>
      <c r="E10" s="5" t="n"/>
      <c r="F10" s="7">
        <f>'Daftar Barang'!G4</f>
        <v/>
      </c>
      <c r="G10" s="5" t="n"/>
      <c r="H10" s="5" t="n"/>
      <c r="I10" s="5" t="n"/>
      <c r="J10" s="5" t="n"/>
      <c r="K10" s="7">
        <f>Tabungan!E4</f>
        <v/>
      </c>
      <c r="L10" s="5" t="n"/>
      <c r="M10" s="5" t="n"/>
      <c r="N10" s="5" t="n"/>
    </row>
    <row r="11" ht="15.75" customHeight="1">
      <c r="A11" s="9" t="inlineStr">
        <is>
          <t>Checklist + rundown Hari-H</t>
        </is>
      </c>
      <c r="B11" s="5" t="n"/>
      <c r="C11" s="5" t="n"/>
      <c r="D11" s="5" t="n"/>
      <c r="E11" s="5" t="n"/>
      <c r="F11" s="9" t="inlineStr">
        <is>
          <t>Dari total barang perlengkapan</t>
        </is>
      </c>
      <c r="G11" s="5" t="n"/>
      <c r="H11" s="5" t="n"/>
      <c r="I11" s="5" t="n"/>
      <c r="J11" s="5" t="n"/>
      <c r="K11" s="9" t="inlineStr">
        <is>
          <t>Dari target tabungan acara</t>
        </is>
      </c>
      <c r="L11" s="5" t="n"/>
      <c r="M11" s="5" t="n"/>
      <c r="N11" s="5" t="n"/>
    </row>
    <row r="13" ht="19.5" customHeight="1">
      <c r="A13" s="3" t="inlineStr">
        <is>
          <t>VISUALISASI &amp; GRAFIK</t>
        </is>
      </c>
    </row>
    <row r="14" ht="15" customHeight="1">
      <c r="Q14" s="10" t="inlineStr">
        <is>
          <t>STATUS PERSIAPAN (BANTUAN GRAFIK)</t>
        </is>
      </c>
    </row>
    <row r="15" ht="15" customHeight="1">
      <c r="Q15" s="11" t="inlineStr">
        <is>
          <t>Selesai</t>
        </is>
      </c>
      <c r="R15" s="12">
        <f>'Jadwal &amp; Rundown'!E5</f>
        <v/>
      </c>
    </row>
    <row r="16" ht="15" customHeight="1">
      <c r="Q16" s="11" t="inlineStr">
        <is>
          <t>Dalam Proses</t>
        </is>
      </c>
      <c r="R16" s="12">
        <f>'Jadwal &amp; Rundown'!G5</f>
        <v/>
      </c>
    </row>
    <row r="17" ht="15" customHeight="1">
      <c r="Q17" s="11" t="inlineStr">
        <is>
          <t>Belum Mulai</t>
        </is>
      </c>
      <c r="R17" s="12">
        <f>'Jadwal &amp; Rundown'!C5-'Jadwal &amp; Rundown'!E5-'Jadwal &amp; Rundown'!G5</f>
        <v/>
      </c>
    </row>
    <row r="19" ht="15" customHeight="1">
      <c r="Q19" s="10" t="inlineStr">
        <is>
          <t>DISTRIBUSI STATUS PEMBAYARAN VENDOR (BANTUAN GRAFIK)</t>
        </is>
      </c>
    </row>
    <row r="20" ht="15" customHeight="1">
      <c r="Q20" s="11" t="inlineStr">
        <is>
          <t>Belum Bayar</t>
        </is>
      </c>
      <c r="R20" s="12">
        <f>COUNTIF('Budget &amp; Bayar'!$L$15:$L$19,"Belum Bayar")</f>
        <v/>
      </c>
    </row>
    <row r="21" ht="15" customHeight="1">
      <c r="Q21" s="11" t="inlineStr">
        <is>
          <t>DP 30% Terbayar</t>
        </is>
      </c>
      <c r="R21" s="12">
        <f>COUNTIF('Budget &amp; Bayar'!$L$15:$L$19,"DP 30% Terbayar")</f>
        <v/>
      </c>
    </row>
    <row r="22" ht="15" customHeight="1">
      <c r="Q22" s="11" t="inlineStr">
        <is>
          <t>Mid-Term 40%</t>
        </is>
      </c>
      <c r="R22" s="12">
        <f>COUNTIF('Budget &amp; Bayar'!$L$15:$L$19,"Mid-Term 40% Terbayar")</f>
        <v/>
      </c>
    </row>
    <row r="23" ht="15" customHeight="1">
      <c r="Q23" s="11" t="inlineStr">
        <is>
          <t>Lunas</t>
        </is>
      </c>
      <c r="R23" s="12">
        <f>COUNTIF('Budget &amp; Bayar'!$L$15:$L$19,"Lunas")</f>
        <v/>
      </c>
    </row>
    <row r="50" ht="19.5" customHeight="1">
      <c r="A50" s="3" t="inlineStr">
        <is>
          <t>STATUS PER KATEGORI ANGGARAN</t>
        </is>
      </c>
    </row>
    <row r="51" ht="15" customHeight="1">
      <c r="A51" s="13" t="inlineStr">
        <is>
          <t>No.</t>
        </is>
      </c>
      <c r="B51" s="13" t="inlineStr">
        <is>
          <t>Kategori Pengeluaran</t>
        </is>
      </c>
      <c r="C51" s="5" t="n"/>
      <c r="D51" s="5" t="n"/>
      <c r="E51" s="5" t="n"/>
      <c r="F51" s="13" t="inlineStr">
        <is>
          <t>Target Anggaran (Rp)</t>
        </is>
      </c>
      <c r="G51" s="5" t="n"/>
      <c r="H51" s="13" t="inlineStr">
        <is>
          <t>Realisasi Kontrak (Rp)</t>
        </is>
      </c>
      <c r="I51" s="5" t="n"/>
      <c r="J51" s="13" t="inlineStr">
        <is>
          <t>Status Efisiensi</t>
        </is>
      </c>
      <c r="K51" s="5" t="n"/>
      <c r="L51" s="13" t="inlineStr">
        <is>
          <t>Status Pembayaran</t>
        </is>
      </c>
      <c r="M51" s="5" t="n"/>
      <c r="N51" s="5" t="n"/>
    </row>
    <row r="52" ht="15" customHeight="1">
      <c r="A52" s="14">
        <f>'Budget &amp; Bayar'!A15</f>
        <v/>
      </c>
      <c r="B52" s="15">
        <f>'Budget &amp; Bayar'!B15</f>
        <v/>
      </c>
      <c r="C52" s="16" t="n"/>
      <c r="D52" s="16" t="n"/>
      <c r="E52" s="16" t="n"/>
      <c r="F52" s="17">
        <f>'Budget &amp; Bayar'!D15</f>
        <v/>
      </c>
      <c r="G52" s="16" t="n"/>
      <c r="H52" s="17">
        <f>'Budget &amp; Bayar'!F15</f>
        <v/>
      </c>
      <c r="I52" s="16" t="n"/>
      <c r="J52" s="15">
        <f>'Budget &amp; Bayar'!H15</f>
        <v/>
      </c>
      <c r="K52" s="16" t="n"/>
      <c r="L52" s="15">
        <f>'Budget &amp; Bayar'!L15</f>
        <v/>
      </c>
      <c r="M52" s="16" t="n"/>
      <c r="N52" s="16" t="n"/>
    </row>
    <row r="53" ht="15" customHeight="1">
      <c r="A53" s="14">
        <f>'Budget &amp; Bayar'!A16</f>
        <v/>
      </c>
      <c r="B53" s="15">
        <f>'Budget &amp; Bayar'!B16</f>
        <v/>
      </c>
      <c r="C53" s="16" t="n"/>
      <c r="D53" s="16" t="n"/>
      <c r="E53" s="16" t="n"/>
      <c r="F53" s="17">
        <f>'Budget &amp; Bayar'!D16</f>
        <v/>
      </c>
      <c r="G53" s="16" t="n"/>
      <c r="H53" s="17">
        <f>'Budget &amp; Bayar'!F16</f>
        <v/>
      </c>
      <c r="I53" s="16" t="n"/>
      <c r="J53" s="15">
        <f>'Budget &amp; Bayar'!H16</f>
        <v/>
      </c>
      <c r="K53" s="16" t="n"/>
      <c r="L53" s="15">
        <f>'Budget &amp; Bayar'!L16</f>
        <v/>
      </c>
      <c r="M53" s="16" t="n"/>
      <c r="N53" s="16" t="n"/>
    </row>
    <row r="54" ht="15" customHeight="1">
      <c r="A54" s="14">
        <f>'Budget &amp; Bayar'!A17</f>
        <v/>
      </c>
      <c r="B54" s="15">
        <f>'Budget &amp; Bayar'!B17</f>
        <v/>
      </c>
      <c r="C54" s="16" t="n"/>
      <c r="D54" s="16" t="n"/>
      <c r="E54" s="16" t="n"/>
      <c r="F54" s="17">
        <f>'Budget &amp; Bayar'!D17</f>
        <v/>
      </c>
      <c r="G54" s="16" t="n"/>
      <c r="H54" s="17">
        <f>'Budget &amp; Bayar'!F17</f>
        <v/>
      </c>
      <c r="I54" s="16" t="n"/>
      <c r="J54" s="15">
        <f>'Budget &amp; Bayar'!H17</f>
        <v/>
      </c>
      <c r="K54" s="16" t="n"/>
      <c r="L54" s="15">
        <f>'Budget &amp; Bayar'!L17</f>
        <v/>
      </c>
      <c r="M54" s="16" t="n"/>
      <c r="N54" s="16" t="n"/>
    </row>
    <row r="55" ht="15" customHeight="1">
      <c r="A55" s="14">
        <f>'Budget &amp; Bayar'!A18</f>
        <v/>
      </c>
      <c r="B55" s="15">
        <f>'Budget &amp; Bayar'!B18</f>
        <v/>
      </c>
      <c r="C55" s="16" t="n"/>
      <c r="D55" s="16" t="n"/>
      <c r="E55" s="16" t="n"/>
      <c r="F55" s="17">
        <f>'Budget &amp; Bayar'!D18</f>
        <v/>
      </c>
      <c r="G55" s="16" t="n"/>
      <c r="H55" s="17">
        <f>'Budget &amp; Bayar'!F18</f>
        <v/>
      </c>
      <c r="I55" s="16" t="n"/>
      <c r="J55" s="15">
        <f>'Budget &amp; Bayar'!H18</f>
        <v/>
      </c>
      <c r="K55" s="16" t="n"/>
      <c r="L55" s="15">
        <f>'Budget &amp; Bayar'!L18</f>
        <v/>
      </c>
      <c r="M55" s="16" t="n"/>
      <c r="N55" s="16" t="n"/>
    </row>
    <row r="56" ht="15" customHeight="1">
      <c r="A56" s="14">
        <f>'Budget &amp; Bayar'!A19</f>
        <v/>
      </c>
      <c r="B56" s="15">
        <f>'Budget &amp; Bayar'!B19</f>
        <v/>
      </c>
      <c r="C56" s="16" t="n"/>
      <c r="D56" s="16" t="n"/>
      <c r="E56" s="16" t="n"/>
      <c r="F56" s="17">
        <f>'Budget &amp; Bayar'!D19</f>
        <v/>
      </c>
      <c r="G56" s="16" t="n"/>
      <c r="H56" s="17">
        <f>'Budget &amp; Bayar'!F19</f>
        <v/>
      </c>
      <c r="I56" s="16" t="n"/>
      <c r="J56" s="15">
        <f>'Budget &amp; Bayar'!H19</f>
        <v/>
      </c>
      <c r="K56" s="16" t="n"/>
      <c r="L56" s="15">
        <f>'Budget &amp; Bayar'!L19</f>
        <v/>
      </c>
      <c r="M56" s="16" t="n"/>
      <c r="N56" s="16" t="n"/>
    </row>
  </sheetData>
  <mergeCells count="56">
    <mergeCell ref="A5:D5"/>
    <mergeCell ref="H53:I53"/>
    <mergeCell ref="F9:I9"/>
    <mergeCell ref="F54:G54"/>
    <mergeCell ref="H54:I54"/>
    <mergeCell ref="B55:E55"/>
    <mergeCell ref="K7:N7"/>
    <mergeCell ref="B51:E51"/>
    <mergeCell ref="H55:I55"/>
    <mergeCell ref="L55:N55"/>
    <mergeCell ref="A10:D10"/>
    <mergeCell ref="K10:N10"/>
    <mergeCell ref="L51:N51"/>
    <mergeCell ref="A1:N1"/>
    <mergeCell ref="H56:I56"/>
    <mergeCell ref="K6:N6"/>
    <mergeCell ref="A9:D9"/>
    <mergeCell ref="F55:G55"/>
    <mergeCell ref="L54:N54"/>
    <mergeCell ref="F51:G51"/>
    <mergeCell ref="F11:I11"/>
    <mergeCell ref="J53:K53"/>
    <mergeCell ref="Q14:R14"/>
    <mergeCell ref="H51:I51"/>
    <mergeCell ref="B54:E54"/>
    <mergeCell ref="A51"/>
    <mergeCell ref="Q19:R19"/>
    <mergeCell ref="A11:D11"/>
    <mergeCell ref="J55:K55"/>
    <mergeCell ref="K9:N9"/>
    <mergeCell ref="F10:I10"/>
    <mergeCell ref="K5:N5"/>
    <mergeCell ref="F6:I6"/>
    <mergeCell ref="H52:I52"/>
    <mergeCell ref="L52:N52"/>
    <mergeCell ref="L56:N56"/>
    <mergeCell ref="B56:E56"/>
    <mergeCell ref="A6:D6"/>
    <mergeCell ref="A50:N50"/>
    <mergeCell ref="F7:I7"/>
    <mergeCell ref="J54:K54"/>
    <mergeCell ref="A2:N2"/>
    <mergeCell ref="B52:E52"/>
    <mergeCell ref="K11:N11"/>
    <mergeCell ref="A7:D7"/>
    <mergeCell ref="F5:I5"/>
    <mergeCell ref="F56:G56"/>
    <mergeCell ref="F52:G52"/>
    <mergeCell ref="J56:K56"/>
    <mergeCell ref="B53:E53"/>
    <mergeCell ref="A4:N4"/>
    <mergeCell ref="J51:K51"/>
    <mergeCell ref="L53:N53"/>
    <mergeCell ref="J52:K52"/>
    <mergeCell ref="A13:N13"/>
    <mergeCell ref="F53:G53"/>
  </mergeCells>
  <conditionalFormatting sqref="K6:N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6:I6">
    <cfRule type="cellIs" priority="3" operator="greaterThan" dxfId="1">
      <formula>1</formula>
    </cfRule>
  </conditionalFormatting>
  <conditionalFormatting sqref="J52:K56">
    <cfRule type="cellIs" priority="4" operator="equal" dxfId="0">
      <formula>"Lunas"</formula>
    </cfRule>
  </conditionalFormatting>
  <conditionalFormatting sqref="L52:N56">
    <cfRule type="cellIs" priority="5" operator="equal" dxfId="0">
      <formula>"Lunas"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8" customWidth="1" min="1" max="1"/>
    <col width="220" customWidth="1" min="2" max="2"/>
    <col width="27" customWidth="1" min="3" max="3"/>
    <col width="24" customWidth="1" min="4" max="4"/>
    <col width="40" customWidth="1" min="5" max="5"/>
    <col width="26" customWidth="1" min="6" max="6"/>
    <col width="27" customWidth="1" min="7" max="7"/>
    <col width="126" customWidth="1" min="8" max="8"/>
    <col width="41" customWidth="1" min="9" max="9"/>
    <col width="22" customWidth="1" min="10" max="10"/>
    <col width="27" customWidth="1" min="11" max="11"/>
    <col width="23" customWidth="1" min="12" max="12"/>
    <col width="96" customWidth="1" min="13" max="13"/>
    <col width="23" customWidth="1" min="14" max="14"/>
  </cols>
  <sheetData>
    <row r="1" ht="36" customHeight="1">
      <c r="A1" s="18" t="inlineStr">
        <is>
          <t>VENDORAMAN - MASTER FINANCIAL &amp; BUDGET PLANNER: GALA DINNER PERUSAHAAN ABC</t>
        </is>
      </c>
    </row>
    <row r="2" ht="20" customHeight="1">
      <c r="A2" s="19" t="inlineStr">
        <is>
          <t>LEGENDA:</t>
        </is>
      </c>
      <c r="B2" s="20" t="inlineStr">
        <is>
          <t>KOLOM KUNING = INPUT EDITABLE (Bisa Diubah)</t>
        </is>
      </c>
      <c r="E2" s="21" t="inlineStr">
        <is>
          <t>KOLOM HIJAU/PUTIH = FORMULA OTOMATIS</t>
        </is>
      </c>
      <c r="H2" s="22" t="inlineStr">
        <is>
          <t>STATUS PEMBAYARAN = KLIK DROPDOWN UNTUK MENGUBAH</t>
        </is>
      </c>
    </row>
    <row r="3"/>
    <row r="4">
      <c r="A4" s="4" t="inlineStr">
        <is>
          <t>BATAS BUDGET MAKSIMAL</t>
        </is>
      </c>
      <c r="B4" s="5" t="n"/>
      <c r="C4" s="23" t="inlineStr">
        <is>
          <t>PERKIRAAN TOTAL BELANJA</t>
        </is>
      </c>
      <c r="D4" s="5" t="n"/>
      <c r="E4" s="24" t="inlineStr">
        <is>
          <t>SISA UANG KAMU</t>
        </is>
      </c>
      <c r="F4" s="5" t="n"/>
      <c r="G4" s="23" t="inlineStr">
        <is>
          <t>BUDGET TERPAKAI (%)</t>
        </is>
      </c>
      <c r="H4" s="5" t="n"/>
      <c r="I4" s="4" t="inlineStr">
        <is>
          <t>BIAYA PER TAMU</t>
        </is>
      </c>
      <c r="J4" s="5" t="n"/>
      <c r="K4" s="24" t="inlineStr">
        <is>
          <t>SUDAH DIBAYAR</t>
        </is>
      </c>
      <c r="L4" s="5" t="n"/>
      <c r="M4" s="23" t="inlineStr">
        <is>
          <t>SISA YANG BELUM DIBAYAR</t>
        </is>
      </c>
      <c r="N4" s="5" t="n"/>
    </row>
    <row r="5">
      <c r="A5" s="25" t="n">
        <v>150000000</v>
      </c>
      <c r="B5" s="5" t="n"/>
      <c r="C5" s="8">
        <f>SUM(F15:F19)</f>
        <v/>
      </c>
      <c r="D5" s="5" t="n"/>
      <c r="E5" s="26">
        <f>A5-C5</f>
        <v/>
      </c>
      <c r="F5" s="5" t="n"/>
      <c r="G5" s="7">
        <f>C5/A5</f>
        <v/>
      </c>
      <c r="H5" s="5" t="n"/>
      <c r="I5" s="25">
        <f>ROUND(C5/'Hitung Katering'!$B$12, 0)</f>
        <v/>
      </c>
      <c r="J5" s="5" t="n"/>
      <c r="K5" s="26">
        <f>SUM(M15:M19)</f>
        <v/>
      </c>
      <c r="L5" s="5" t="n"/>
      <c r="M5" s="8">
        <f>C5-K5</f>
        <v/>
      </c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/>
    <row r="8">
      <c r="A8" s="19" t="inlineStr">
        <is>
          <t>Kategori Acara</t>
        </is>
      </c>
      <c r="B8" s="27" t="inlineStr">
        <is>
          <t>Corporate Gathering &amp; Gala</t>
        </is>
      </c>
      <c r="D8" s="19" t="inlineStr">
        <is>
          <t>Kota / Lokasi</t>
        </is>
      </c>
      <c r="E8" s="27" t="inlineStr">
        <is>
          <t>Jakarta</t>
        </is>
      </c>
      <c r="G8" s="19" t="inlineStr">
        <is>
          <t>Status Kurasi</t>
        </is>
      </c>
      <c r="H8" s="27" t="inlineStr">
        <is>
          <t>Vetted Partners Only</t>
        </is>
      </c>
      <c r="J8" s="19" t="inlineStr">
        <is>
          <t>Proteksi</t>
        </is>
      </c>
      <c r="K8" s="27" t="inlineStr">
        <is>
          <t>Garansi Finansial 100%</t>
        </is>
      </c>
    </row>
    <row r="9">
      <c r="A9" s="19" t="inlineStr">
        <is>
          <t>Tanggal Acara</t>
        </is>
      </c>
      <c r="B9" s="28" t="n">
        <v>46376</v>
      </c>
      <c r="D9" s="19" t="inlineStr">
        <is>
          <t>Estimasi Tamu</t>
        </is>
      </c>
      <c r="E9" s="27" t="inlineStr">
        <is>
          <t>300 Pax</t>
        </is>
      </c>
      <c r="G9" s="19" t="inlineStr">
        <is>
          <t>Skema Pembayaran</t>
        </is>
      </c>
      <c r="H9" s="27" t="inlineStr">
        <is>
          <t>Platform Escrow Bertahap</t>
        </is>
      </c>
      <c r="J9" s="19" t="inlineStr">
        <is>
          <t>Metode</t>
        </is>
      </c>
      <c r="K9" s="27" t="inlineStr">
        <is>
          <t>Virtual Account &amp; QRIS</t>
        </is>
      </c>
    </row>
    <row r="10">
      <c r="A10" s="19" t="inlineStr">
        <is>
          <t>Anggaran Min</t>
        </is>
      </c>
      <c r="B10" s="27" t="inlineStr">
        <is>
          <t>Rp 50.000.000</t>
        </is>
      </c>
      <c r="D10" s="19" t="inlineStr">
        <is>
          <t>Anggaran Max</t>
        </is>
      </c>
      <c r="E10" s="29">
        <f>A5</f>
        <v/>
      </c>
      <c r="G10" s="19" t="inlineStr">
        <is>
          <t>Sistem Escrow</t>
        </is>
      </c>
      <c r="H10" s="27" t="inlineStr">
        <is>
          <t>Tiga Tahap (30-40-30)</t>
        </is>
      </c>
      <c r="J10" s="19" t="inlineStr">
        <is>
          <t>Layanan</t>
        </is>
      </c>
      <c r="K10" s="27" t="inlineStr">
        <is>
          <t>Dedicated Event Planner</t>
        </is>
      </c>
    </row>
    <row r="11"/>
    <row r="12"/>
    <row r="13"/>
    <row r="14" ht="28" customHeight="1">
      <c r="A14" s="30" t="inlineStr">
        <is>
          <t>No.</t>
        </is>
      </c>
      <c r="B14" s="30" t="inlineStr">
        <is>
          <t>Kategori Pengeluaran</t>
        </is>
      </c>
      <c r="C14" s="30" t="inlineStr">
        <is>
          <t>Alokasi Target (%)</t>
        </is>
      </c>
      <c r="D14" s="30" t="inlineStr">
        <is>
          <t>Target Anggaran (Rp)</t>
        </is>
      </c>
      <c r="E14" s="30" t="inlineStr">
        <is>
          <t>Vendor Rekomendasi / Terpilih</t>
        </is>
      </c>
      <c r="F14" s="30" t="inlineStr">
        <is>
          <t>Realisasi Kontrak (Rp)</t>
        </is>
      </c>
      <c r="G14" s="30" t="inlineStr">
        <is>
          <t>Selisih / Variance (Rp)</t>
        </is>
      </c>
      <c r="H14" s="30" t="inlineStr">
        <is>
          <t>Status Efisiensi</t>
        </is>
      </c>
      <c r="I14" s="30" t="inlineStr">
        <is>
          <t>DP 30% (Rp)</t>
        </is>
      </c>
      <c r="J14" s="30" t="inlineStr">
        <is>
          <t>Mid-Term 40% (Rp)</t>
        </is>
      </c>
      <c r="K14" s="30" t="inlineStr">
        <is>
          <t>Pelunasan 30% (Rp)</t>
        </is>
      </c>
      <c r="L14" s="30" t="inlineStr">
        <is>
          <t>Status Pembayaran</t>
        </is>
      </c>
      <c r="M14" s="30" t="inlineStr">
        <is>
          <t>Dana Terbayar (Rp)</t>
        </is>
      </c>
      <c r="N14" s="30" t="inlineStr">
        <is>
          <t>Sisa Kewajiban (Rp)</t>
        </is>
      </c>
    </row>
    <row r="15">
      <c r="A15" s="31" t="n">
        <v>1</v>
      </c>
      <c r="B15" s="32" t="inlineStr">
        <is>
          <t>Catering &amp; Jamuan Tamu</t>
        </is>
      </c>
      <c r="C15" s="33" t="n">
        <v>0.4</v>
      </c>
      <c r="D15" s="34">
        <f>$A$5*C15</f>
        <v/>
      </c>
      <c r="E15" s="32" t="inlineStr">
        <is>
          <t>Nusantara Royal Catering</t>
        </is>
      </c>
      <c r="F15" s="35">
        <f>'Hitung Katering'!B34</f>
        <v/>
      </c>
      <c r="G15" s="36">
        <f>D15-F15</f>
        <v/>
      </c>
      <c r="H15" s="37">
        <f>IF(F15=0,"Belum Realisasi",IF(G15&gt;0,"HEMAT " &amp; TEXT(G15,"#,##0"),IF(G15&lt;0,"DEFISIT " &amp; TEXT(ABS(G15),"#,##0"),"SESUAI")))</f>
        <v/>
      </c>
      <c r="I15" s="34">
        <f>ROUND(F15*0.3, 0)</f>
        <v/>
      </c>
      <c r="J15" s="34">
        <f>ROUND(F15*0.4, 0)</f>
        <v/>
      </c>
      <c r="K15" s="34">
        <f>ROUND(F15*0.3, 0)</f>
        <v/>
      </c>
      <c r="L15" s="31" t="inlineStr">
        <is>
          <t>DP 30% Terbayar</t>
        </is>
      </c>
      <c r="M15" s="36">
        <f>IF(L15="Lunas",F15,IF(L15="Mid-Term 40% Terbayar",I15+J15,IF(L15="DP 30% Terbayar",I15,0)))</f>
        <v/>
      </c>
      <c r="N15" s="36">
        <f>F15-M15</f>
        <v/>
      </c>
    </row>
    <row r="16">
      <c r="A16" s="31" t="n">
        <v>2</v>
      </c>
      <c r="B16" s="32" t="inlineStr">
        <is>
          <t>Dekorasi, Pelaminan &amp; Venue</t>
        </is>
      </c>
      <c r="C16" s="33" t="n">
        <v>0.3</v>
      </c>
      <c r="D16" s="34">
        <f>$A$5*C16</f>
        <v/>
      </c>
      <c r="E16" s="32" t="inlineStr">
        <is>
          <t>Kencana Art Decoration</t>
        </is>
      </c>
      <c r="F16" s="35" t="n">
        <v>45000000</v>
      </c>
      <c r="G16" s="36">
        <f>D16-F16</f>
        <v/>
      </c>
      <c r="H16" s="37">
        <f>IF(F16=0,"Belum Realisasi",IF(G16&gt;0,"HEMAT " &amp; TEXT(G16,"#,##0"),IF(G16&lt;0,"DEFISIT " &amp; TEXT(ABS(G16),"#,##0"),"SESUAI")))</f>
        <v/>
      </c>
      <c r="I16" s="34">
        <f>ROUND(F16*0.3, 0)</f>
        <v/>
      </c>
      <c r="J16" s="34">
        <f>ROUND(F16*0.4, 0)</f>
        <v/>
      </c>
      <c r="K16" s="34">
        <f>ROUND(F16*0.3, 0)</f>
        <v/>
      </c>
      <c r="L16" s="31" t="inlineStr">
        <is>
          <t>Menunggu Konfirmasi</t>
        </is>
      </c>
      <c r="M16" s="36">
        <f>IF(L16="Lunas",F16,IF(L16="Mid-Term 40% Terbayar",I16+J16,IF(L16="DP 30% Terbayar",I16,0)))</f>
        <v/>
      </c>
      <c r="N16" s="36">
        <f>F16-M16</f>
        <v/>
      </c>
    </row>
    <row r="17">
      <c r="A17" s="31" t="n">
        <v>3</v>
      </c>
      <c r="B17" s="32" t="inlineStr">
        <is>
          <t>Dokumentasi (Foto &amp; Cinematic Video)</t>
        </is>
      </c>
      <c r="C17" s="33" t="n">
        <v>0.12</v>
      </c>
      <c r="D17" s="34">
        <f>$A$5*C17</f>
        <v/>
      </c>
      <c r="E17" s="32" t="inlineStr">
        <is>
          <t>Lumina Visuals Studio</t>
        </is>
      </c>
      <c r="F17" s="35" t="n">
        <v>18000000</v>
      </c>
      <c r="G17" s="36">
        <f>D17-F17</f>
        <v/>
      </c>
      <c r="H17" s="37">
        <f>IF(F17=0,"Belum Realisasi",IF(G17&gt;0,"HEMAT " &amp; TEXT(G17,"#,##0"),IF(G17&lt;0,"DEFISIT " &amp; TEXT(ABS(G17),"#,##0"),"SESUAI")))</f>
        <v/>
      </c>
      <c r="I17" s="34">
        <f>ROUND(F17*0.3, 0)</f>
        <v/>
      </c>
      <c r="J17" s="34">
        <f>ROUND(F17*0.4, 0)</f>
        <v/>
      </c>
      <c r="K17" s="34">
        <f>ROUND(F17*0.3, 0)</f>
        <v/>
      </c>
      <c r="L17" s="31" t="inlineStr">
        <is>
          <t>Quotation Diterima</t>
        </is>
      </c>
      <c r="M17" s="36">
        <f>IF(L17="Lunas",F17,IF(L17="Mid-Term 40% Terbayar",I17+J17,IF(L17="DP 30% Terbayar",I17,0)))</f>
        <v/>
      </c>
      <c r="N17" s="36">
        <f>F17-M17</f>
        <v/>
      </c>
    </row>
    <row r="18">
      <c r="A18" s="31" t="n">
        <v>4</v>
      </c>
      <c r="B18" s="32" t="inlineStr">
        <is>
          <t>Sound System, Lighting, MC &amp; Hiburan</t>
        </is>
      </c>
      <c r="C18" s="33" t="n">
        <v>0.13</v>
      </c>
      <c r="D18" s="34">
        <f>$A$5*C18</f>
        <v/>
      </c>
      <c r="E18" s="32" t="inlineStr">
        <is>
          <t>SoundVibe Pro Audio</t>
        </is>
      </c>
      <c r="F18" s="35" t="n">
        <v>19500000</v>
      </c>
      <c r="G18" s="36">
        <f>D18-F18</f>
        <v/>
      </c>
      <c r="H18" s="37">
        <f>IF(F18=0,"Belum Realisasi",IF(G18&gt;0,"HEMAT " &amp; TEXT(G18,"#,##0"),IF(G18&lt;0,"DEFISIT " &amp; TEXT(ABS(G18),"#,##0"),"SESUAI")))</f>
        <v/>
      </c>
      <c r="I18" s="34">
        <f>ROUND(F18*0.3, 0)</f>
        <v/>
      </c>
      <c r="J18" s="34">
        <f>ROUND(F18*0.4, 0)</f>
        <v/>
      </c>
      <c r="K18" s="34">
        <f>ROUND(F18*0.3, 0)</f>
        <v/>
      </c>
      <c r="L18" s="31" t="inlineStr">
        <is>
          <t>Rekomendasi</t>
        </is>
      </c>
      <c r="M18" s="36">
        <f>IF(L18="Lunas",F18,IF(L18="Mid-Term 40% Terbayar",I18+J18,IF(L18="DP 30% Terbayar",I18,0)))</f>
        <v/>
      </c>
      <c r="N18" s="36">
        <f>F18-M18</f>
        <v/>
      </c>
    </row>
    <row r="19">
      <c r="A19" s="31" t="n">
        <v>5</v>
      </c>
      <c r="B19" s="38" t="inlineStr">
        <is>
          <t>Dana Cadangan Tak Terduga (Contingency)</t>
        </is>
      </c>
      <c r="C19" s="33" t="n">
        <v>0.05</v>
      </c>
      <c r="D19" s="34">
        <f>$A$5*C19</f>
        <v/>
      </c>
      <c r="E19" s="32" t="inlineStr">
        <is>
          <t>Alokasi Cadangan Mandiri</t>
        </is>
      </c>
      <c r="F19" s="35" t="n">
        <v>0</v>
      </c>
      <c r="G19" s="36">
        <f>D19-F19</f>
        <v/>
      </c>
      <c r="H19" s="37">
        <f>IF(F19=0,"Belum Realisasi",IF(G19&gt;0,"HEMAT " &amp; TEXT(G19,"#,##0"),IF(G19&lt;0,"DEFISIT " &amp; TEXT(ABS(G19),"#,##0"),"SESUAI")))</f>
        <v/>
      </c>
      <c r="I19" s="34">
        <f>ROUND(F19*0.3, 0)</f>
        <v/>
      </c>
      <c r="J19" s="34">
        <f>ROUND(F19*0.4, 0)</f>
        <v/>
      </c>
      <c r="K19" s="34">
        <f>ROUND(F19*0.3, 0)</f>
        <v/>
      </c>
      <c r="L19" s="31" t="inlineStr">
        <is>
          <t>Belum Bayar</t>
        </is>
      </c>
      <c r="M19" s="36">
        <f>IF(L19="Lunas",F19,IF(L19="Mid-Term 40% Terbayar",I19+J19,IF(L19="DP 30% Terbayar",I19,0)))</f>
        <v/>
      </c>
      <c r="N19" s="36">
        <f>F19-M19</f>
        <v/>
      </c>
    </row>
    <row r="20">
      <c r="A20" s="39" t="inlineStr"/>
      <c r="B20" s="40" t="inlineStr">
        <is>
          <t>TOTAL KESELURUHAN</t>
        </is>
      </c>
      <c r="C20" s="41">
        <f>SUM(C15:C19)</f>
        <v/>
      </c>
      <c r="D20" s="42">
        <f>SUM(D15:D19)</f>
        <v/>
      </c>
      <c r="E20" s="40" t="inlineStr">
        <is>
          <t>5 Divisi Master</t>
        </is>
      </c>
      <c r="F20" s="42">
        <f>SUM(F15:F19)</f>
        <v/>
      </c>
      <c r="G20" s="42">
        <f>SUM(G15:G19)</f>
        <v/>
      </c>
      <c r="H20" s="39">
        <f>IF(G20&gt;0,"TOTAL SURPLUS",IF(G20&lt;0,"TOTAL DEFISIT","SEIMBANG"))</f>
        <v/>
      </c>
      <c r="I20" s="42">
        <f>SUM(I15:I19)</f>
        <v/>
      </c>
      <c r="J20" s="42">
        <f>SUM(J15:J19)</f>
        <v/>
      </c>
      <c r="K20" s="42">
        <f>SUM(K15:K19)</f>
        <v/>
      </c>
      <c r="L20" s="39" t="inlineStr">
        <is>
          <t>Rekap Escrow</t>
        </is>
      </c>
      <c r="M20" s="42">
        <f>SUM(M15:M19)</f>
        <v/>
      </c>
      <c r="N20" s="42">
        <f>SUM(N15:N19)</f>
        <v/>
      </c>
    </row>
    <row r="21"/>
    <row r="22">
      <c r="B22" s="43" t="inlineStr">
        <is>
          <t>* Panduan Finansial: Kolom berlatar kuning (Realisasi Kontrak) dapat Anda sesuaikan. Biaya katering terhubung otomatis ke Tab 'Hitung Katering'. Selisih, status efisiensi, dan dana terbayar escrow terupdate otomatis.</t>
        </is>
      </c>
    </row>
  </sheetData>
  <mergeCells count="18">
    <mergeCell ref="A4:B4"/>
    <mergeCell ref="G4:H4"/>
    <mergeCell ref="E4:F4"/>
    <mergeCell ref="E2:G2"/>
    <mergeCell ref="I4:J4"/>
    <mergeCell ref="M5:N6"/>
    <mergeCell ref="H2:K2"/>
    <mergeCell ref="C4:D4"/>
    <mergeCell ref="A5:B6"/>
    <mergeCell ref="C5:D6"/>
    <mergeCell ref="E5:F6"/>
    <mergeCell ref="G5:H6"/>
    <mergeCell ref="I5:J6"/>
    <mergeCell ref="K5:L6"/>
    <mergeCell ref="K4:L4"/>
    <mergeCell ref="M4:N4"/>
    <mergeCell ref="B2:D2"/>
    <mergeCell ref="A1:N1"/>
  </mergeCells>
  <conditionalFormatting sqref="G15:G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15:L19">
    <cfRule type="cellIs" priority="3" operator="equal" dxfId="0">
      <formula>"Lunas"</formula>
    </cfRule>
    <cfRule type="cellIs" priority="4" operator="equal" dxfId="2">
      <formula>"DP 30% Terbayar"</formula>
    </cfRule>
    <cfRule type="cellIs" priority="5" operator="equal" dxfId="2">
      <formula>"Mid-Term 40% Terbayar"</formula>
    </cfRule>
  </conditionalFormatting>
  <dataValidations count="1">
    <dataValidation sqref="L15:L19" showDropDown="0" showInputMessage="0" showErrorMessage="0" allowBlank="1" type="list">
      <formula1>"Belum Bayar,DP 30% Terbayar,Mid-Term 40% Terbayar,Lunas"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3" customWidth="1" min="1" max="1"/>
    <col width="30" customWidth="1" min="2" max="2"/>
    <col width="24" customWidth="1" min="3" max="3"/>
    <col width="36" customWidth="1" min="4" max="4"/>
    <col width="15" customWidth="1" min="5" max="5"/>
    <col width="17" customWidth="1" min="6" max="6"/>
    <col width="36" customWidth="1" min="7" max="7"/>
    <col width="23" customWidth="1" min="8" max="8"/>
    <col width="29" customWidth="1" min="9" max="9"/>
    <col width="41" customWidth="1" min="10" max="10"/>
    <col width="20" customWidth="1" min="11" max="11"/>
    <col width="24" customWidth="1" min="12" max="12"/>
    <col width="33" customWidth="1" min="13" max="13"/>
    <col width="42" customWidth="1" min="14" max="14"/>
  </cols>
  <sheetData>
    <row r="1" ht="36" customHeight="1">
      <c r="A1" s="18" t="inlineStr">
        <is>
          <t>DIREKTORI RESMI VENDOR TERKURASI &amp; KONTAK PIC (PAID PLANNER UNLOCKED)</t>
        </is>
      </c>
    </row>
    <row r="2"/>
    <row r="3">
      <c r="A3" s="44" t="inlineStr">
        <is>
          <t>TOTAL VENDOR TERKURASI</t>
        </is>
      </c>
      <c r="B3" s="5" t="n"/>
      <c r="C3" s="5" t="n"/>
      <c r="D3" s="45" t="inlineStr">
        <is>
          <t>VENDOR SUDAH BOOKING</t>
        </is>
      </c>
      <c r="E3" s="5" t="n"/>
      <c r="F3" s="5" t="n"/>
      <c r="G3" s="46" t="inlineStr">
        <is>
          <t>VENDOR DALAM DISKUSI</t>
        </is>
      </c>
      <c r="H3" s="5" t="n"/>
      <c r="I3" s="5" t="n"/>
      <c r="J3" s="47" t="inlineStr">
        <is>
          <t>TOTAL NILAI KONTRAK VENDOR TERPILIH</t>
        </is>
      </c>
      <c r="K3" s="5" t="n"/>
      <c r="L3" s="5" t="n"/>
      <c r="M3" s="5" t="n"/>
      <c r="N3" s="5" t="n"/>
    </row>
    <row r="4">
      <c r="A4" s="48">
        <f>COUNTA(C7:C7)</f>
        <v/>
      </c>
      <c r="B4" s="5" t="n"/>
      <c r="C4" s="5" t="n"/>
      <c r="D4" s="49">
        <f>COUNTIF(L7:L7, "Sudah Booking")</f>
        <v/>
      </c>
      <c r="E4" s="5" t="n"/>
      <c r="F4" s="5" t="n"/>
      <c r="G4" s="50">
        <f>COUNTIF(L7:L7, "Dalam Diskusi")</f>
        <v/>
      </c>
      <c r="H4" s="5" t="n"/>
      <c r="I4" s="5" t="n"/>
      <c r="J4" s="51">
        <f>SUMIF(L7:L7, "Sudah Booking", K7:K7)</f>
        <v/>
      </c>
      <c r="K4" s="5" t="n"/>
      <c r="L4" s="5" t="n"/>
      <c r="M4" s="5" t="n"/>
      <c r="N4" s="5" t="n"/>
    </row>
    <row r="5"/>
    <row r="6" ht="26" customHeight="1">
      <c r="A6" s="13" t="inlineStr">
        <is>
          <t>No.</t>
        </is>
      </c>
      <c r="B6" s="13" t="inlineStr">
        <is>
          <t>Kategori</t>
        </is>
      </c>
      <c r="C6" s="13" t="inlineStr">
        <is>
          <t>Nama Vendor Resmi</t>
        </is>
      </c>
      <c r="D6" s="13" t="inlineStr">
        <is>
          <t>Kota</t>
        </is>
      </c>
      <c r="E6" s="13" t="inlineStr">
        <is>
          <t>Rating</t>
        </is>
      </c>
      <c r="F6" s="13" t="inlineStr">
        <is>
          <t>Event Selesai</t>
        </is>
      </c>
      <c r="G6" s="13" t="inlineStr">
        <is>
          <t>Nama PIC</t>
        </is>
      </c>
      <c r="H6" s="13" t="inlineStr">
        <is>
          <t>Kontak WhatsApp PIC</t>
        </is>
      </c>
      <c r="I6" s="13" t="inlineStr">
        <is>
          <t>Paket Utama</t>
        </is>
      </c>
      <c r="J6" s="13" t="inlineStr">
        <is>
          <t>Kapasitas Pax</t>
        </is>
      </c>
      <c r="K6" s="13" t="inlineStr">
        <is>
          <t>Harga Paket (Rp)</t>
        </is>
      </c>
      <c r="L6" s="13" t="inlineStr">
        <is>
          <t>Status Tindak Lanjut</t>
        </is>
      </c>
      <c r="M6" s="13" t="inlineStr">
        <is>
          <t>Estimasi Biaya/Pax</t>
        </is>
      </c>
      <c r="N6" s="13" t="inlineStr">
        <is>
          <t>Catatan Negosiasi &amp; Termin</t>
        </is>
      </c>
    </row>
    <row r="7">
      <c r="A7" s="31" t="n">
        <v>1</v>
      </c>
      <c r="B7" s="32" t="inlineStr">
        <is>
          <t>Corporate Gathering &amp; Gala</t>
        </is>
      </c>
      <c r="C7" s="38" t="inlineStr">
        <is>
          <t>Nusa Event Organizer</t>
        </is>
      </c>
      <c r="D7" s="32" t="inlineStr">
        <is>
          <t>Jakarta</t>
        </is>
      </c>
      <c r="E7" s="52" t="n">
        <v>5</v>
      </c>
      <c r="F7" s="53" t="n">
        <v>0</v>
      </c>
      <c r="G7" s="32" t="inlineStr">
        <is>
          <t>PIC Contoh</t>
        </is>
      </c>
      <c r="H7" s="54" t="inlineStr">
        <is>
          <t>081234567890</t>
        </is>
      </c>
      <c r="I7" s="32" t="inlineStr">
        <is>
          <t>Paket Gala Dinner 300 Pax</t>
        </is>
      </c>
      <c r="J7" s="53" t="n">
        <v>300</v>
      </c>
      <c r="K7" s="55" t="n">
        <v>90000000</v>
      </c>
      <c r="L7" s="31" t="inlineStr">
        <is>
          <t>Sudah Booking</t>
        </is>
      </c>
      <c r="M7" s="56">
        <f>IF(J7&gt;0, ROUND(K7/J7, 0), 0)</f>
        <v/>
      </c>
      <c r="N7" s="32" t="inlineStr">
        <is>
          <t>Negosiasi paket bonus &amp; jadwal loading</t>
        </is>
      </c>
    </row>
  </sheetData>
  <mergeCells count="9">
    <mergeCell ref="J4:N4"/>
    <mergeCell ref="J3:N3"/>
    <mergeCell ref="D4:F4"/>
    <mergeCell ref="D3:F3"/>
    <mergeCell ref="A3:C3"/>
    <mergeCell ref="G3:I3"/>
    <mergeCell ref="G4:I4"/>
    <mergeCell ref="A4:C4"/>
    <mergeCell ref="A1:N1"/>
  </mergeCells>
  <conditionalFormatting sqref="L7">
    <cfRule type="cellIs" priority="1" operator="equal" dxfId="0">
      <formula>"Sudah Booking"</formula>
    </cfRule>
    <cfRule type="cellIs" priority="2" operator="equal" dxfId="2">
      <formula>"Dalam Diskusi"</formula>
    </cfRule>
    <cfRule type="cellIs" priority="3" operator="equal" dxfId="1">
      <formula>"Ditolak"</formula>
    </cfRule>
  </conditionalFormatting>
  <dataValidations count="1">
    <dataValidation sqref="L7" showDropDown="0" showInputMessage="0" showErrorMessage="0" allowBlank="1" type="list">
      <formula1>"Belum Dihubungi,Dalam Diskusi,Sudah Booking,Ditolak"</formula1>
    </dataValidation>
  </dataValidations>
  <hyperlinks>
    <hyperlink xmlns:r="http://schemas.openxmlformats.org/officeDocument/2006/relationships" ref="H7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129" customWidth="1" min="3" max="3"/>
    <col width="27" customWidth="1" min="4" max="4"/>
    <col width="85" customWidth="1" min="5" max="5"/>
    <col width="40" customWidth="1" min="6" max="6"/>
    <col width="100" customWidth="1" min="7" max="7"/>
    <col width="50" customWidth="1" min="8" max="8"/>
    <col width="73" customWidth="1" min="9" max="9"/>
    <col width="15" customWidth="1" min="10" max="10"/>
  </cols>
  <sheetData>
    <row r="1" ht="36" customHeight="1">
      <c r="A1" s="18" t="inlineStr">
        <is>
          <t>JADWAL PERSIAPAN &amp; ACARA HARI-H</t>
        </is>
      </c>
    </row>
    <row r="2"/>
    <row r="3">
      <c r="A3" s="4" t="inlineStr">
        <is>
          <t>HITUNG MUNDUR (HARI LAGI)</t>
        </is>
      </c>
      <c r="B3" s="5" t="n"/>
      <c r="C3" s="23" t="inlineStr">
        <is>
          <t>TOTAL YANG HARUS DIKERJAKAN</t>
        </is>
      </c>
      <c r="D3" s="5" t="n"/>
      <c r="E3" s="24" t="inlineStr">
        <is>
          <t>SUDAH SELESAI</t>
        </is>
      </c>
      <c r="F3" s="5" t="n"/>
      <c r="G3" s="57" t="inlineStr">
        <is>
          <t>SEDANG DIKERJAKAN</t>
        </is>
      </c>
      <c r="H3" s="5" t="n"/>
      <c r="I3" s="4" t="inlineStr">
        <is>
          <t>PERSEN SIAP (%)</t>
        </is>
      </c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8">
        <f>'Budget &amp; Bayar'!B9-TODAY()</f>
        <v/>
      </c>
      <c r="B5" s="5" t="n"/>
      <c r="C5" s="59">
        <f>COUNTA(C10:C14)+COUNTA(C20:C23)+COUNTA(C29:C32)</f>
        <v/>
      </c>
      <c r="D5" s="5" t="n"/>
      <c r="E5" s="60">
        <f>COUNTIF(E10:E14,"Selesai")+COUNTIF(E20:E23,"Selesai")+COUNTIF(E29:E32,"Selesai")</f>
        <v/>
      </c>
      <c r="F5" s="5" t="n"/>
      <c r="G5" s="61">
        <f>COUNTIF(E10:E14,"Dalam Proses")+COUNTIF(E20:E23,"Dalam Proses")+COUNTIF(E29:E32,"Dalam Proses")</f>
        <v/>
      </c>
      <c r="H5" s="5" t="n"/>
      <c r="I5" s="62">
        <f>E5/C5</f>
        <v/>
      </c>
      <c r="J5" s="5" t="n"/>
    </row>
    <row r="6"/>
    <row r="7"/>
    <row r="8">
      <c r="A8" s="19" t="inlineStr">
        <is>
          <t>1. YANG HARUS SELESAI TIAP BULAN (6-2 BULAN SEBELUM ACARA)</t>
        </is>
      </c>
    </row>
    <row r="9" ht="24" customHeight="1">
      <c r="A9" s="13" t="inlineStr">
        <is>
          <t>Periode Target</t>
        </is>
      </c>
      <c r="B9" s="13" t="inlineStr">
        <is>
          <t>Batas Waktu</t>
        </is>
      </c>
      <c r="C9" s="13" t="inlineStr">
        <is>
          <t>Sasaran Utama &amp; Deliverables</t>
        </is>
      </c>
      <c r="D9" s="13" t="inlineStr">
        <is>
          <t>Penanggung Jawab</t>
        </is>
      </c>
      <c r="E9" s="13" t="inlineStr">
        <is>
          <t>Status Target</t>
        </is>
      </c>
      <c r="F9" s="13" t="inlineStr">
        <is>
          <t>Catatan Verifikasi</t>
        </is>
      </c>
    </row>
    <row r="10">
      <c r="A10" s="38" t="inlineStr">
        <is>
          <t>Bulan: H-6</t>
        </is>
      </c>
      <c r="B10" s="31" t="inlineStr">
        <is>
          <t>6 Bulan Sebelum</t>
        </is>
      </c>
      <c r="C10" s="32" t="inlineStr">
        <is>
          <t>Tentukan budget &amp; lihat vendor — Tentukan budget maksimal, perkiraan tamu, dan lihat vendor untuk Corporate Gathering &amp; Gala.</t>
        </is>
      </c>
      <c r="D10" s="32" t="inlineStr">
        <is>
          <t>Kamu &amp; tim</t>
        </is>
      </c>
      <c r="E10" s="31" t="inlineStr">
        <is>
          <t>Selesai</t>
        </is>
      </c>
      <c r="F10" s="63" t="inlineStr">
        <is>
          <t>Tentukan budget &amp; lihat vendor</t>
        </is>
      </c>
    </row>
    <row r="11">
      <c r="A11" s="38" t="inlineStr">
        <is>
          <t>Bulan: H-5</t>
        </is>
      </c>
      <c r="B11" s="31" t="inlineStr">
        <is>
          <t>5 Bulan Sebelum</t>
        </is>
      </c>
      <c r="C11" s="32" t="inlineStr">
        <is>
          <t>Kunci gedung &amp; pesan konsumsi — Kunci tanggal gedung &amp; pesan konsumsi (bayar uang muka 30% yang ditahan aman).</t>
        </is>
      </c>
      <c r="D11" s="32" t="inlineStr">
        <is>
          <t>Kamu &amp; vendor</t>
        </is>
      </c>
      <c r="E11" s="31" t="inlineStr">
        <is>
          <t>Selesai</t>
        </is>
      </c>
      <c r="F11" s="63" t="inlineStr">
        <is>
          <t>Kunci gedung &amp; pesan konsumsi</t>
        </is>
      </c>
    </row>
    <row r="12">
      <c r="A12" s="38" t="inlineStr">
        <is>
          <t>Bulan: H-4</t>
        </is>
      </c>
      <c r="B12" s="31" t="inlineStr">
        <is>
          <t>4 Bulan Sebelum</t>
        </is>
      </c>
      <c r="C12" s="32" t="inlineStr">
        <is>
          <t>Pesan dekorasi &amp; dokumentasi — Tentukan tema, dekorasi panggung, dan tim foto/video.</t>
        </is>
      </c>
      <c r="D12" s="32" t="inlineStr">
        <is>
          <t>Kamu &amp; EO</t>
        </is>
      </c>
      <c r="E12" s="31" t="inlineStr">
        <is>
          <t>Dalam Proses</t>
        </is>
      </c>
      <c r="F12" s="63" t="inlineStr">
        <is>
          <t>Pesan dekorasi &amp; dokumentasi</t>
        </is>
      </c>
    </row>
    <row r="13">
      <c r="A13" s="38" t="inlineStr">
        <is>
          <t>Bulan: H-3</t>
        </is>
      </c>
      <c r="B13" s="31" t="inlineStr">
        <is>
          <t>3 Bulan Sebelum</t>
        </is>
      </c>
      <c r="C13" s="32" t="inlineStr">
        <is>
          <t>Siapkan pengisi acara &amp; MC — Pilih MC, pengisi acara/hiburan, dan susun daftar tamu.</t>
        </is>
      </c>
      <c r="D13" s="32" t="inlineStr">
        <is>
          <t>EO &amp; MC</t>
        </is>
      </c>
      <c r="E13" s="31" t="inlineStr">
        <is>
          <t>Belum Mulai</t>
        </is>
      </c>
      <c r="F13" s="63" t="inlineStr">
        <is>
          <t>Siapkan pengisi acara &amp; MC</t>
        </is>
      </c>
    </row>
    <row r="14">
      <c r="A14" s="38" t="inlineStr">
        <is>
          <t>Bulan: H-2</t>
        </is>
      </c>
      <c r="B14" s="31" t="inlineStr">
        <is>
          <t>2 Bulan Sebelum</t>
        </is>
      </c>
      <c r="C14" s="32" t="inlineStr">
        <is>
          <t>Sebar undangan &amp; bentuk panitia — Kirim undangan fisik + online, pesan souvenir, bentuk panitia.</t>
        </is>
      </c>
      <c r="D14" s="32" t="inlineStr">
        <is>
          <t>Panitia &amp; EO</t>
        </is>
      </c>
      <c r="E14" s="31" t="inlineStr">
        <is>
          <t>Belum Mulai</t>
        </is>
      </c>
      <c r="F14" s="63" t="inlineStr">
        <is>
          <t>Sebar undangan &amp; bentuk panitia</t>
        </is>
      </c>
    </row>
    <row r="15"/>
    <row r="16"/>
    <row r="17"/>
    <row r="18">
      <c r="A18" s="19" t="inlineStr">
        <is>
          <t>2. YANG HARUS SELESAI TIAP MINGGU (4 MINGGU TERAKHIR)</t>
        </is>
      </c>
    </row>
    <row r="19" ht="24" customHeight="1">
      <c r="A19" s="64" t="inlineStr">
        <is>
          <t>Minggu Ke-</t>
        </is>
      </c>
      <c r="B19" s="64" t="inlineStr">
        <is>
          <t>Fokus Koordinasi</t>
        </is>
      </c>
      <c r="C19" s="64" t="inlineStr">
        <is>
          <t>Sasaran Utama &amp; Deliverables</t>
        </is>
      </c>
      <c r="D19" s="64" t="inlineStr">
        <is>
          <t>PIC Vendor / Panitia</t>
        </is>
      </c>
      <c r="E19" s="64" t="inlineStr">
        <is>
          <t>Status Target</t>
        </is>
      </c>
      <c r="F19" s="64" t="inlineStr">
        <is>
          <t>Catatan Verifikasi</t>
        </is>
      </c>
    </row>
    <row r="20">
      <c r="A20" s="38" t="inlineStr">
        <is>
          <t>Minggu: W-4</t>
        </is>
      </c>
      <c r="B20" s="38" t="inlineStr">
        <is>
          <t>Ketemu semua vendor di gedung</t>
        </is>
      </c>
      <c r="C20" s="32" t="inlineStr">
        <is>
          <t>Samakan layout panggung, listrik, dan alur acara.</t>
        </is>
      </c>
      <c r="D20" s="32" t="inlineStr">
        <is>
          <t>EO &amp; semua vendor</t>
        </is>
      </c>
      <c r="E20" s="31" t="inlineStr">
        <is>
          <t>Belum Mulai</t>
        </is>
      </c>
      <c r="F20" s="63" t="inlineStr">
        <is>
          <t>Ketemu semua vendor di gedung</t>
        </is>
      </c>
    </row>
    <row r="21">
      <c r="A21" s="38" t="inlineStr">
        <is>
          <t>Minggu: W-3</t>
        </is>
      </c>
      <c r="B21" s="38" t="inlineStr">
        <is>
          <t>Sebar undangan &amp; catat yang datang</t>
        </is>
      </c>
      <c r="C21" s="32" t="inlineStr">
        <is>
          <t>Hitung tamu yang pasti datang untuk pesan konsumsi.</t>
        </is>
      </c>
      <c r="D21" s="32" t="inlineStr">
        <is>
          <t>Kamu &amp; tim</t>
        </is>
      </c>
      <c r="E21" s="31" t="inlineStr">
        <is>
          <t>Belum Mulai</t>
        </is>
      </c>
      <c r="F21" s="63" t="inlineStr">
        <is>
          <t>Sebar undangan &amp; catat yang datang</t>
        </is>
      </c>
    </row>
    <row r="22">
      <c r="A22" s="38" t="inlineStr">
        <is>
          <t>Minggu: W-2</t>
        </is>
      </c>
      <c r="B22" s="38" t="inlineStr">
        <is>
          <t>Kunci jumlah konsumsi &amp; cetak materi</t>
        </is>
      </c>
      <c r="C22" s="32" t="inlineStr">
        <is>
          <t>Kunci porsi (+ 10% cadangan), cetak backdrop, ID card, souvenir.</t>
        </is>
      </c>
      <c r="D22" s="32" t="inlineStr">
        <is>
          <t>Vendor &amp; EO</t>
        </is>
      </c>
      <c r="E22" s="31" t="inlineStr">
        <is>
          <t>Belum Mulai</t>
        </is>
      </c>
      <c r="F22" s="63" t="inlineStr">
        <is>
          <t>Kunci jumlah konsumsi &amp; cetak materi</t>
        </is>
      </c>
    </row>
    <row r="23">
      <c r="A23" s="38" t="inlineStr">
        <is>
          <t>Minggu: W-1</t>
        </is>
      </c>
      <c r="B23" s="38" t="inlineStr">
        <is>
          <t>Kunci jadwal hari-H &amp; izin gedung</t>
        </is>
      </c>
      <c r="C23" s="32" t="inlineStr">
        <is>
          <t>Kunci susunan acara bareng MC, urus izin dan parkir.</t>
        </is>
      </c>
      <c r="D23" s="32" t="inlineStr">
        <is>
          <t>EO, MC &amp; keamanan</t>
        </is>
      </c>
      <c r="E23" s="31" t="inlineStr">
        <is>
          <t>Belum Mulai</t>
        </is>
      </c>
      <c r="F23" s="63" t="inlineStr">
        <is>
          <t>Kunci jadwal hari-H &amp; izin gedung</t>
        </is>
      </c>
    </row>
    <row r="24"/>
    <row r="25"/>
    <row r="26"/>
    <row r="27">
      <c r="A27" s="19" t="inlineStr">
        <is>
          <t>3. YANG HARUS SELESAI TIAP HARI (7-1 HARI SEBELUM ACARA)</t>
        </is>
      </c>
    </row>
    <row r="28" ht="24" customHeight="1">
      <c r="A28" s="65" t="inlineStr">
        <is>
          <t>Hari Countdown</t>
        </is>
      </c>
      <c r="B28" s="65" t="inlineStr">
        <is>
          <t>Waktu Pelaksanaan</t>
        </is>
      </c>
      <c r="C28" s="65" t="inlineStr">
        <is>
          <t>Aksi Operasional &amp; Pengecekan</t>
        </is>
      </c>
      <c r="D28" s="65" t="inlineStr">
        <is>
          <t>Penanggung Jawab</t>
        </is>
      </c>
      <c r="E28" s="65" t="inlineStr">
        <is>
          <t>Status Target</t>
        </is>
      </c>
      <c r="F28" s="65" t="inlineStr">
        <is>
          <t>Catatan Verifikasi</t>
        </is>
      </c>
    </row>
    <row r="29">
      <c r="A29" s="38" t="inlineStr">
        <is>
          <t>Hari: H-7</t>
        </is>
      </c>
      <c r="B29" s="31" t="inlineStr">
        <is>
          <t>7 Hari Sebelum</t>
        </is>
      </c>
      <c r="C29" s="32" t="inlineStr">
        <is>
          <t>Cek kesiapan semua vendor — Pastikan jam datang barang dan personil.</t>
        </is>
      </c>
      <c r="D29" s="32" t="inlineStr">
        <is>
          <t>Ketua EO &amp; vendor</t>
        </is>
      </c>
      <c r="E29" s="31" t="inlineStr">
        <is>
          <t>Belum Mulai</t>
        </is>
      </c>
      <c r="F29" s="63" t="inlineStr">
        <is>
          <t>Cek kesiapan semua vendor</t>
        </is>
      </c>
    </row>
    <row r="30">
      <c r="A30" s="38" t="inlineStr">
        <is>
          <t>Hari: H-3</t>
        </is>
      </c>
      <c r="B30" s="31" t="inlineStr">
        <is>
          <t>3 Hari Sebelum</t>
        </is>
      </c>
      <c r="C30" s="32" t="inlineStr">
        <is>
          <t>Cek daftar tamu VIP &amp; tempat duduk — Cetak daftar tamu VIP dan denah kursi/meja.</t>
        </is>
      </c>
      <c r="D30" s="32" t="inlineStr">
        <is>
          <t>EO &amp; panitia</t>
        </is>
      </c>
      <c r="E30" s="31" t="inlineStr">
        <is>
          <t>Belum Mulai</t>
        </is>
      </c>
      <c r="F30" s="63" t="inlineStr">
        <is>
          <t>Cek daftar tamu VIP &amp; tempat duduk</t>
        </is>
      </c>
    </row>
    <row r="31">
      <c r="A31" s="38" t="inlineStr">
        <is>
          <t>Hari: H-2</t>
        </is>
      </c>
      <c r="B31" s="31" t="inlineStr">
        <is>
          <t>2 Hari Sebelum</t>
        </is>
      </c>
      <c r="C31" s="32" t="inlineStr">
        <is>
          <t>Latihan di gedung &amp; tes suara — Latihan alur acara, tes mic, lampu, dan presentasi.</t>
        </is>
      </c>
      <c r="D31" s="32" t="inlineStr">
        <is>
          <t>MC, EO &amp; audio</t>
        </is>
      </c>
      <c r="E31" s="31" t="inlineStr">
        <is>
          <t>Belum Mulai</t>
        </is>
      </c>
      <c r="F31" s="63" t="inlineStr">
        <is>
          <t>Latihan di gedung &amp; tes suara</t>
        </is>
      </c>
    </row>
    <row r="32">
      <c r="A32" s="38" t="inlineStr">
        <is>
          <t>Hari: H-1</t>
        </is>
      </c>
      <c r="B32" s="31" t="inlineStr">
        <is>
          <t>1 Hari Sebelum</t>
        </is>
      </c>
      <c r="C32" s="32" t="inlineStr">
        <is>
          <t>Masukkan dekorasi &amp; briefing — Pasang dekorasi/panggung, briefing panitia malam hari.</t>
        </is>
      </c>
      <c r="D32" s="32" t="inlineStr">
        <is>
          <t>EO &amp; teknisi</t>
        </is>
      </c>
      <c r="E32" s="31" t="inlineStr">
        <is>
          <t>Belum Mulai</t>
        </is>
      </c>
      <c r="F32" s="63" t="inlineStr">
        <is>
          <t>Masukkan dekorasi &amp; briefing</t>
        </is>
      </c>
    </row>
    <row r="33"/>
    <row r="34"/>
    <row r="35"/>
    <row r="36">
      <c r="A36" s="19" t="inlineStr">
        <is>
          <t>4. JADWAL LENGKAP HARI-H (8 ACARA DARI PAGI SAMPAI SORE)</t>
        </is>
      </c>
    </row>
    <row r="37" ht="24" customHeight="1">
      <c r="A37" s="13" t="inlineStr">
        <is>
          <t>No</t>
        </is>
      </c>
      <c r="B37" s="13" t="inlineStr">
        <is>
          <t>Waktu (WIB)</t>
        </is>
      </c>
      <c r="C37" s="13" t="inlineStr">
        <is>
          <t>Durasi</t>
        </is>
      </c>
      <c r="D37" s="13" t="inlineStr">
        <is>
          <t>Fase Acara</t>
        </is>
      </c>
      <c r="E37" s="13" t="inlineStr">
        <is>
          <t>Agenda / Sesi Acara Detail</t>
        </is>
      </c>
      <c r="F37" s="13" t="inlineStr">
        <is>
          <t>Lokasi</t>
        </is>
      </c>
      <c r="G37" s="13" t="inlineStr">
        <is>
          <t>PIC Utama</t>
        </is>
      </c>
      <c r="H37" s="13" t="inlineStr">
        <is>
          <t>Cue Audio &amp; Wardrobe</t>
        </is>
      </c>
      <c r="I37" s="13" t="inlineStr">
        <is>
          <t>Catatan Teknis &amp; SOP Lapangan</t>
        </is>
      </c>
      <c r="J37" s="13" t="inlineStr">
        <is>
          <t>Status Sesi</t>
        </is>
      </c>
    </row>
    <row r="38">
      <c r="A38" s="37" t="n">
        <v>1</v>
      </c>
      <c r="B38" s="37" t="inlineStr">
        <is>
          <t>07.00 - 08.00</t>
        </is>
      </c>
      <c r="C38" s="31" t="inlineStr">
        <is>
          <t>60 Mnt</t>
        </is>
      </c>
      <c r="D38" s="38" t="inlineStr">
        <is>
          <t>Siap-siap &amp; pasang alat</t>
        </is>
      </c>
      <c r="E38" s="38" t="inlineStr">
        <is>
          <t>Vendor masuk, pasang panggung, suara &amp; lampu</t>
        </is>
      </c>
      <c r="F38" s="32" t="inlineStr">
        <is>
          <t>Gedung acara</t>
        </is>
      </c>
      <c r="G38" s="32" t="inlineStr">
        <is>
          <t>Tim EO &amp; vendor</t>
        </is>
      </c>
      <c r="H38" s="63" t="inlineStr">
        <is>
          <t>Tes mic &amp; musik latar | Kaos panitia &amp; ID card</t>
        </is>
      </c>
      <c r="I38" s="32" t="inlineStr">
        <is>
          <t>Pastikan kabel aman, panggung dan backdrop berdiri kokoh.</t>
        </is>
      </c>
      <c r="J38" s="37" t="inlineStr">
        <is>
          <t>Belum Mulai</t>
        </is>
      </c>
    </row>
    <row r="39">
      <c r="A39" s="37" t="n">
        <v>2</v>
      </c>
      <c r="B39" s="37" t="inlineStr">
        <is>
          <t>08.00 - 08.30</t>
        </is>
      </c>
      <c r="C39" s="31" t="inlineStr">
        <is>
          <t>30 Mnt</t>
        </is>
      </c>
      <c r="D39" s="38" t="inlineStr">
        <is>
          <t>Siap-siap &amp; pasang alat</t>
        </is>
      </c>
      <c r="E39" s="38" t="inlineStr">
        <is>
          <t>Briefing panitia &amp; tes akhir</t>
        </is>
      </c>
      <c r="F39" s="32" t="inlineStr">
        <is>
          <t>Depan panggung</t>
        </is>
      </c>
      <c r="G39" s="32" t="inlineStr">
        <is>
          <t>Ketua EO &amp; MC</t>
        </is>
      </c>
      <c r="H39" s="63" t="inlineStr">
        <is>
          <t>Tes mic MC 1-2 | Seragam panitia</t>
        </is>
      </c>
      <c r="I39" s="32" t="inlineStr">
        <is>
          <t>Bagi tugas, samakan frekuensi HT, bagi jadwal cetak.</t>
        </is>
      </c>
      <c r="J39" s="37" t="inlineStr">
        <is>
          <t>Belum Mulai</t>
        </is>
      </c>
    </row>
    <row r="40">
      <c r="A40" s="37" t="n">
        <v>3</v>
      </c>
      <c r="B40" s="37" t="inlineStr">
        <is>
          <t>08.30 - 09.00</t>
        </is>
      </c>
      <c r="C40" s="31" t="inlineStr">
        <is>
          <t>30 Mnt</t>
        </is>
      </c>
      <c r="D40" s="38" t="inlineStr">
        <is>
          <t>Tamu datang</t>
        </is>
      </c>
      <c r="E40" s="38" t="inlineStr">
        <is>
          <t>Pintu dibuka, tamu registrasi &amp; sambutan</t>
        </is>
      </c>
      <c r="F40" s="32" t="inlineStr">
        <is>
          <t>Pintu masuk &amp; meja tamu</t>
        </is>
      </c>
      <c r="G40" s="32" t="inlineStr">
        <is>
          <t>Panitia tamu</t>
        </is>
      </c>
      <c r="H40" s="63" t="inlineStr">
        <is>
          <t>Musik sambutan | Batik panitia</t>
        </is>
      </c>
      <c r="I40" s="32" t="inlineStr">
        <is>
          <t>Siapkan buku tamu/tablet, souvenir, dan minuman selamat datang.</t>
        </is>
      </c>
      <c r="J40" s="37" t="inlineStr">
        <is>
          <t>Belum Mulai</t>
        </is>
      </c>
    </row>
    <row r="41">
      <c r="A41" s="37" t="n">
        <v>4</v>
      </c>
      <c r="B41" s="37" t="inlineStr">
        <is>
          <t>09.00 - 09.15</t>
        </is>
      </c>
      <c r="C41" s="31" t="inlineStr">
        <is>
          <t>15 Mnt</t>
        </is>
      </c>
      <c r="D41" s="38" t="inlineStr">
        <is>
          <t>Acara dibuka</t>
        </is>
      </c>
      <c r="E41" s="38" t="inlineStr">
        <is>
          <t>MC buka acara &amp; sambutan tuan rumah</t>
        </is>
      </c>
      <c r="F41" s="32" t="inlineStr">
        <is>
          <t>Panggung utama</t>
        </is>
      </c>
      <c r="G41" s="32" t="inlineStr">
        <is>
          <t>MC &amp; tuan rumah</t>
        </is>
      </c>
      <c r="H41" s="63" t="inlineStr">
        <is>
          <t>Musik pembuka | Pakaian formal</t>
        </is>
      </c>
      <c r="I41" s="32" t="inlineStr">
        <is>
          <t>Sapa tamu, jelaskan susunan acara hari ini.</t>
        </is>
      </c>
      <c r="J41" s="37" t="inlineStr">
        <is>
          <t>Belum Mulai</t>
        </is>
      </c>
    </row>
    <row r="42">
      <c r="A42" s="37" t="n">
        <v>5</v>
      </c>
      <c r="B42" s="37" t="inlineStr">
        <is>
          <t>09.15 - 11.00</t>
        </is>
      </c>
      <c r="C42" s="31" t="inlineStr">
        <is>
          <t>105 Mnt</t>
        </is>
      </c>
      <c r="D42" s="38" t="inlineStr">
        <is>
          <t>Acara inti</t>
        </is>
      </c>
      <c r="E42" s="38" t="inlineStr">
        <is>
          <t>Sesi utama (materi / sambutan / potong kue / games)</t>
        </is>
      </c>
      <c r="F42" s="32" t="inlineStr">
        <is>
          <t>Panggung utama</t>
        </is>
      </c>
      <c r="G42" s="32" t="inlineStr">
        <is>
          <t>MC &amp; pengisi acara</t>
        </is>
      </c>
      <c r="H42" s="63" t="inlineStr">
        <is>
          <t>Slide + mic pembicara | -</t>
        </is>
      </c>
      <c r="I42" s="32" t="inlineStr">
        <is>
          <t>Sesuaikan dengan jenismu: seminar, ultah, gathering, atau pameran.</t>
        </is>
      </c>
      <c r="J42" s="37" t="inlineStr">
        <is>
          <t>Belum Mulai</t>
        </is>
      </c>
    </row>
    <row r="43">
      <c r="A43" s="37" t="n">
        <v>6</v>
      </c>
      <c r="B43" s="37" t="inlineStr">
        <is>
          <t>11.00 - 12.00</t>
        </is>
      </c>
      <c r="C43" s="31" t="inlineStr">
        <is>
          <t>60 Mnt</t>
        </is>
      </c>
      <c r="D43" s="38" t="inlineStr">
        <is>
          <t>Istirahat &amp; makan</t>
        </is>
      </c>
      <c r="E43" s="38" t="inlineStr">
        <is>
          <t>Ishoma / makan bersama &amp; hiburan</t>
        </is>
      </c>
      <c r="F43" s="32" t="inlineStr">
        <is>
          <t>Area konsumsi &amp; panggung</t>
        </is>
      </c>
      <c r="G43" s="32" t="inlineStr">
        <is>
          <t>Katering &amp; MC</t>
        </is>
      </c>
      <c r="H43" s="63" t="inlineStr">
        <is>
          <t>Musik santai / akustik | -</t>
        </is>
      </c>
      <c r="I43" s="32" t="inlineStr">
        <is>
          <t>Buka prasmanan/stall, cek pemanas makanan dan antrean.</t>
        </is>
      </c>
      <c r="J43" s="37" t="inlineStr">
        <is>
          <t>Belum Mulai</t>
        </is>
      </c>
    </row>
    <row r="44">
      <c r="A44" s="37" t="n">
        <v>7</v>
      </c>
      <c r="B44" s="37" t="inlineStr">
        <is>
          <t>12.00 - 13.00</t>
        </is>
      </c>
      <c r="C44" s="31" t="inlineStr">
        <is>
          <t>60 Mnt</t>
        </is>
      </c>
      <c r="D44" s="38" t="inlineStr">
        <is>
          <t>Acara lanjut</t>
        </is>
      </c>
      <c r="E44" s="38" t="inlineStr">
        <is>
          <t>Sesi kedua + foto bersama &amp; doorprize</t>
        </is>
      </c>
      <c r="F44" s="32" t="inlineStr">
        <is>
          <t>Panggung utama</t>
        </is>
      </c>
      <c r="G44" s="32" t="inlineStr">
        <is>
          <t>MC &amp; fotografer</t>
        </is>
      </c>
      <c r="H44" s="63" t="inlineStr">
        <is>
          <t>Musik seru | -</t>
        </is>
      </c>
      <c r="I44" s="32" t="inlineStr">
        <is>
          <t>Bagi doorprize, foto per kelompok biar tertib.</t>
        </is>
      </c>
      <c r="J44" s="37" t="inlineStr">
        <is>
          <t>Belum Mulai</t>
        </is>
      </c>
    </row>
    <row r="45">
      <c r="A45" s="37" t="n">
        <v>8</v>
      </c>
      <c r="B45" s="37" t="inlineStr">
        <is>
          <t>13.00 - 14.00</t>
        </is>
      </c>
      <c r="C45" s="31" t="inlineStr">
        <is>
          <t>60 Mnt</t>
        </is>
      </c>
      <c r="D45" s="38" t="inlineStr">
        <is>
          <t>Penutupan &amp; beres-beres</t>
        </is>
      </c>
      <c r="E45" s="38" t="inlineStr">
        <is>
          <t>MC tutup acara, tamu pulang, bongkar alat</t>
        </is>
      </c>
      <c r="F45" s="32" t="inlineStr">
        <is>
          <t>Gedung &amp; parkir</t>
        </is>
      </c>
      <c r="G45" s="32" t="inlineStr">
        <is>
          <t>EO &amp; semua vendor</t>
        </is>
      </c>
      <c r="H45" s="63" t="inlineStr">
        <is>
          <t>- | Kaos bongkar</t>
        </is>
      </c>
      <c r="I45" s="32" t="inlineStr">
        <is>
          <t>Amankan kotak amal/doorprize sisa, bongkar alat, serah terima gedung.</t>
        </is>
      </c>
      <c r="J45" s="37" t="inlineStr">
        <is>
          <t>Belum Mulai</t>
        </is>
      </c>
    </row>
  </sheetData>
  <mergeCells count="11">
    <mergeCell ref="E3:F4"/>
    <mergeCell ref="A1:J1"/>
    <mergeCell ref="I3:J4"/>
    <mergeCell ref="C5:D5"/>
    <mergeCell ref="A5:B5"/>
    <mergeCell ref="G5:H5"/>
    <mergeCell ref="E5:F5"/>
    <mergeCell ref="I5:J5"/>
    <mergeCell ref="C3:D4"/>
    <mergeCell ref="A3:B4"/>
    <mergeCell ref="G3:H4"/>
  </mergeCells>
  <conditionalFormatting sqref="E10:E32">
    <cfRule type="cellIs" priority="1" operator="equal" dxfId="0">
      <formula>"Selesai"</formula>
    </cfRule>
    <cfRule type="cellIs" priority="2" operator="equal" dxfId="2">
      <formula>"Dalam Proses"</formula>
    </cfRule>
    <cfRule type="cellIs" priority="3" operator="equal" dxfId="1">
      <formula>"Belum Mulai"</formula>
    </cfRule>
  </conditionalFormatting>
  <conditionalFormatting sqref="J38:J45">
    <cfRule type="cellIs" priority="4" operator="equal" dxfId="0">
      <formula>"Selesai"</formula>
    </cfRule>
    <cfRule type="cellIs" priority="5" operator="equal" dxfId="2">
      <formula>"Dalam Proses"</formula>
    </cfRule>
    <cfRule type="cellIs" priority="6" operator="equal" dxfId="1">
      <formula>"Belum Mulai"</formula>
    </cfRule>
  </conditionalFormatting>
  <dataValidations count="2">
    <dataValidation sqref="E10:E14 E20:E23 E29:E32" showDropDown="0" showInputMessage="0" showErrorMessage="0" allowBlank="1" type="list">
      <formula1>"Selesai,Dalam Proses,Belum Mulai"</formula1>
    </dataValidation>
    <dataValidation sqref="J38:J45" showDropDown="0" showInputMessage="0" showErrorMessage="0" allowBlank="1" type="list">
      <formula1>"Selesai,Dalam Proses,Belum Mulai"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72" customWidth="1" min="1" max="1"/>
    <col width="33" customWidth="1" min="2" max="2"/>
    <col width="55" customWidth="1" min="3" max="3"/>
    <col width="50" customWidth="1" min="4" max="4"/>
    <col width="71" customWidth="1" min="5" max="5"/>
  </cols>
  <sheetData>
    <row r="1" ht="36" customHeight="1">
      <c r="A1" s="18" t="inlineStr">
        <is>
          <t>HITUNG KEBUTUHAN MAKAN &amp; BIAYA KATERING</t>
        </is>
      </c>
    </row>
    <row r="2">
      <c r="A2" s="19" t="inlineStr">
        <is>
          <t>LEGENDA:</t>
        </is>
      </c>
      <c r="B2" s="66" t="inlineStr">
        <is>
          <t>KOLOM KUNING = INPUT EDITABLE</t>
        </is>
      </c>
      <c r="D2" s="67" t="inlineStr">
        <is>
          <t>KOLOM HIJAU = HASIL KALKULASI OTOMATIS</t>
        </is>
      </c>
    </row>
    <row r="3"/>
    <row r="4">
      <c r="A4" s="19" t="inlineStr">
        <is>
          <t>1. PARAMETER PERHITUNGAN TAMU (SIMULATOR KEHADIRAN):</t>
        </is>
      </c>
    </row>
    <row r="5">
      <c r="A5" s="32" t="inlineStr">
        <is>
          <t>Jumlah Undangan Fisik (Lembar)</t>
        </is>
      </c>
      <c r="B5" s="35" t="n">
        <v>120</v>
      </c>
      <c r="C5" s="63" t="inlineStr">
        <is>
          <t>Ubah sesuai jumlah cetak fisik</t>
        </is>
      </c>
    </row>
    <row r="6">
      <c r="A6" s="32" t="inlineStr">
        <is>
          <t>Estimasi Tamu per Undangan Fisik</t>
        </is>
      </c>
      <c r="B6" s="68" t="n">
        <v>2</v>
      </c>
      <c r="C6" s="63" t="inlineStr">
        <is>
          <t>Standar rata-rata kehadiran: 2 orang per undangan</t>
        </is>
      </c>
    </row>
    <row r="7">
      <c r="A7" s="32" t="inlineStr">
        <is>
          <t>Jumlah Undangan Digital / Broadcast</t>
        </is>
      </c>
      <c r="B7" s="35" t="n">
        <v>60</v>
      </c>
      <c r="C7" s="63" t="inlineStr">
        <is>
          <t>Ubah sesuai daftar broadcast digital</t>
        </is>
      </c>
    </row>
    <row r="8">
      <c r="A8" s="32" t="inlineStr">
        <is>
          <t>Estimasi Kehadiran per Undangan Digital</t>
        </is>
      </c>
      <c r="B8" s="68" t="n">
        <v>1.5</v>
      </c>
      <c r="C8" s="63" t="inlineStr">
        <is>
          <t>Standar rata-rata kehadiran e-invitation: 1.5 orang</t>
        </is>
      </c>
    </row>
    <row r="9">
      <c r="A9" s="38" t="inlineStr">
        <is>
          <t>Subtotal Estimasi Tamu Undangan (Pax)</t>
        </is>
      </c>
      <c r="B9" s="36">
        <f>(B5*B6)+(B7*B8)</f>
        <v/>
      </c>
      <c r="C9" s="63" t="inlineStr">
        <is>
          <t>Kalkulasi otomatis proyeksi tamu hadir</t>
        </is>
      </c>
    </row>
    <row r="10">
      <c r="A10" s="32" t="inlineStr">
        <is>
          <t>Buffer Panitia, Kru Vendor &amp; Keluarga (%)</t>
        </is>
      </c>
      <c r="B10" s="69" t="n">
        <v>0.1</v>
      </c>
      <c r="C10" s="63" t="inlineStr">
        <is>
          <t>Standar aman WO: 10% dari tamu hadir</t>
        </is>
      </c>
    </row>
    <row r="11">
      <c r="A11" s="32" t="inlineStr">
        <is>
          <t>Porsi Tambahan Cadangan &amp; Panitia (Pax)</t>
        </is>
      </c>
      <c r="B11" s="36">
        <f>ROUND(B9*B10, 0)</f>
        <v/>
      </c>
      <c r="C11" s="63" t="inlineStr">
        <is>
          <t>Kalkulasi otomatis porsi buffer cadangan</t>
        </is>
      </c>
    </row>
    <row r="12">
      <c r="A12" s="38" t="inlineStr">
        <is>
          <t>TOTAL ESTIMASI KEBUTUHAN PORSI BERSIH (PAX)</t>
        </is>
      </c>
      <c r="B12" s="70">
        <f>B9+B11</f>
        <v/>
      </c>
      <c r="C12" s="63" t="inlineStr">
        <is>
          <t>Basis utama pemesanan paket katering ke vendor</t>
        </is>
      </c>
    </row>
    <row r="13"/>
    <row r="14">
      <c r="A14" s="19" t="inlineStr">
        <is>
          <t>2. DISTRIBUSI ALOKASI PORSI MENU MAKANAN (STANDAR INDUSTRI WEDDING):</t>
        </is>
      </c>
    </row>
    <row r="15" ht="24" customHeight="1">
      <c r="A15" s="13" t="inlineStr">
        <is>
          <t>Komponen Jamuan</t>
        </is>
      </c>
      <c r="B15" s="13" t="inlineStr">
        <is>
          <t>Rasio Formula Standar</t>
        </is>
      </c>
      <c r="C15" s="13" t="inlineStr">
        <is>
          <t>Jumlah Porsi Dianjurkan</t>
        </is>
      </c>
      <c r="D15" s="13" t="inlineStr">
        <is>
          <t>Satuan</t>
        </is>
      </c>
      <c r="E15" s="13" t="inlineStr">
        <is>
          <t>Keterangan Distribusi</t>
        </is>
      </c>
    </row>
    <row r="16">
      <c r="A16" s="38" t="inlineStr">
        <is>
          <t>Menu Buffet Utama (Prasmanan)</t>
        </is>
      </c>
      <c r="B16" s="71" t="n">
        <v>0.6</v>
      </c>
      <c r="C16" s="72">
        <f>ROUND($B$12*B16, 0)</f>
        <v/>
      </c>
      <c r="D16" s="31" t="inlineStr">
        <is>
          <t>Porsi</t>
        </is>
      </c>
      <c r="E16" s="32" t="inlineStr">
        <is>
          <t>6 menu utama lauk pauk, nasi, sup &amp; dessert</t>
        </is>
      </c>
    </row>
    <row r="17">
      <c r="A17" s="38" t="inlineStr">
        <is>
          <t>Food Stalls / Gubukan (Variasi Menu)</t>
        </is>
      </c>
      <c r="B17" s="71" t="n">
        <v>0.4</v>
      </c>
      <c r="C17" s="72">
        <f>ROUND($B$12*B17*4, 0)</f>
        <v/>
      </c>
      <c r="D17" s="31" t="inlineStr">
        <is>
          <t>Porsi Stall</t>
        </is>
      </c>
      <c r="E17" s="32" t="inlineStr">
        <is>
          <t>Rekomendasi 4 porsi gubukan per tamu (Sate, Zuppa, Siomay, Es Krim)</t>
        </is>
      </c>
    </row>
    <row r="18">
      <c r="A18" s="38" t="inlineStr">
        <is>
          <t>Porsi Meja Khusus VIP &amp; Keluarga Inti</t>
        </is>
      </c>
      <c r="B18" s="71" t="n">
        <v>0.1</v>
      </c>
      <c r="C18" s="72">
        <f>ROUND($B$12*B18, 0)</f>
        <v/>
      </c>
      <c r="D18" s="31" t="inlineStr">
        <is>
          <t>Porsi VIP</t>
        </is>
      </c>
      <c r="E18" s="32" t="inlineStr">
        <is>
          <t>Disajikan khusus di ruang transit keluarga &amp; meja tamu VIP</t>
        </is>
      </c>
    </row>
    <row r="19">
      <c r="A19" s="38" t="inlineStr">
        <is>
          <t>Konsumsi Box Kru &amp; Vendor Standby</t>
        </is>
      </c>
      <c r="B19" s="71" t="n">
        <v>0.05</v>
      </c>
      <c r="C19" s="72">
        <f>ROUND($B$12*B19, 0)</f>
        <v/>
      </c>
      <c r="D19" s="31" t="inlineStr">
        <is>
          <t>Box Konsumsi</t>
        </is>
      </c>
      <c r="E19" s="32" t="inlineStr">
        <is>
          <t>Disiapkan box makanan praktis sebelum acara dimulai</t>
        </is>
      </c>
    </row>
    <row r="20"/>
    <row r="21">
      <c r="A21" s="19" t="inlineStr">
        <is>
          <t>3. ESTIMASI FASILITAS &amp; LOGISTIK TAMU (FORMULA WO):</t>
        </is>
      </c>
    </row>
    <row r="22" ht="24" customHeight="1">
      <c r="A22" s="64" t="inlineStr">
        <is>
          <t>Item Fasilitas Tamu</t>
        </is>
      </c>
      <c r="B22" s="64" t="inlineStr">
        <is>
          <t>Formula Kebutuhan</t>
        </is>
      </c>
      <c r="C22" s="64" t="inlineStr">
        <is>
          <t>Satuan</t>
        </is>
      </c>
      <c r="D22" s="64" t="inlineStr">
        <is>
          <t>Keterangan Logistik</t>
        </is>
      </c>
    </row>
    <row r="23">
      <c r="A23" s="38" t="inlineStr">
        <is>
          <t>Kebutuhan Air Mineral &amp; Minuman Tamu</t>
        </is>
      </c>
      <c r="B23" s="36">
        <f>ROUND($B$12*1.5, 0)</f>
        <v/>
      </c>
      <c r="C23" s="31" t="inlineStr">
        <is>
          <t>Gelas / Botol</t>
        </is>
      </c>
      <c r="D23" s="63" t="inlineStr">
        <is>
          <t>Rata-rata konsumsi minuman 1.5 cup per orang</t>
        </is>
      </c>
    </row>
    <row r="24">
      <c r="A24" s="38" t="inlineStr">
        <is>
          <t>Kebutuhan Meja Bundar VIP (10 Pax)</t>
        </is>
      </c>
      <c r="B24" s="36">
        <f>ROUNDUP($B$12*0.15/10, 0)</f>
        <v/>
      </c>
      <c r="C24" s="31" t="inlineStr">
        <is>
          <t>Unit Meja</t>
        </is>
      </c>
      <c r="D24" s="63" t="inlineStr">
        <is>
          <t>Untuk alokasi 15% tamu duduk di meja VIP</t>
        </is>
      </c>
    </row>
    <row r="25">
      <c r="A25" s="38" t="inlineStr">
        <is>
          <t>Estimasi Kursi Duduk (Standing Party 70%)</t>
        </is>
      </c>
      <c r="B25" s="36">
        <f>ROUNDUP($B$12*0.70, 0)</f>
        <v/>
      </c>
      <c r="C25" s="31" t="inlineStr">
        <is>
          <t>Unit Kursi</t>
        </is>
      </c>
      <c r="D25" s="63" t="inlineStr">
        <is>
          <t>Kebutuhan kursi ballroom dengan rasio flow 70%</t>
        </is>
      </c>
    </row>
    <row r="26">
      <c r="A26" s="38" t="inlineStr">
        <is>
          <t>Estimasi Kapasitas Parkir Kendaraan Tamu</t>
        </is>
      </c>
      <c r="B26" s="36">
        <f>ROUNDUP($B$12*0.35, 0)</f>
        <v/>
      </c>
      <c r="C26" s="31" t="inlineStr">
        <is>
          <t>Slot Mobil</t>
        </is>
      </c>
      <c r="D26" s="63" t="inlineStr">
        <is>
          <t>Asumsi 1 mobil berisi 2.5 - 3 orang tamu</t>
        </is>
      </c>
    </row>
    <row r="27"/>
    <row r="28">
      <c r="A28" s="19" t="inlineStr">
        <is>
          <t>4. SIMULASI ANGGARAN KATERING OTOMATIS:</t>
        </is>
      </c>
    </row>
    <row r="29" ht="24" customHeight="1">
      <c r="A29" s="65" t="inlineStr">
        <is>
          <t>Item Simulasi</t>
        </is>
      </c>
      <c r="B29" s="65" t="inlineStr">
        <is>
          <t>Nilai / Formula</t>
        </is>
      </c>
      <c r="C29" s="65" t="inlineStr">
        <is>
          <t>Satuan</t>
        </is>
      </c>
      <c r="D29" s="65" t="inlineStr">
        <is>
          <t>Keterangan</t>
        </is>
      </c>
    </row>
    <row r="30">
      <c r="A30" s="32" t="inlineStr">
        <is>
          <t>Estimasi Harga Paket Prasmanan per Pax</t>
        </is>
      </c>
      <c r="B30" s="73" t="n">
        <v>95000</v>
      </c>
      <c r="C30" s="31" t="inlineStr">
        <is>
          <t>Rp / Pax</t>
        </is>
      </c>
      <c r="D30" s="63" t="inlineStr">
        <is>
          <t>Ubah sesuai penawaran vendor katering</t>
        </is>
      </c>
    </row>
    <row r="31">
      <c r="A31" s="32" t="inlineStr">
        <is>
          <t>Estimasi Harga Rata-rata Stall per Porsi</t>
        </is>
      </c>
      <c r="B31" s="73" t="n">
        <v>25000</v>
      </c>
      <c r="C31" s="31" t="inlineStr">
        <is>
          <t>Rp / Porsi</t>
        </is>
      </c>
      <c r="D31" s="63" t="inlineStr">
        <is>
          <t>Ubah sesuai variasi gubukan</t>
        </is>
      </c>
    </row>
    <row r="32">
      <c r="A32" s="32" t="inlineStr">
        <is>
          <t>Subtotal Biaya Prasmanan (Buffet)</t>
        </is>
      </c>
      <c r="B32" s="55">
        <f>C16*B30</f>
        <v/>
      </c>
      <c r="C32" s="31" t="inlineStr">
        <is>
          <t>Rp</t>
        </is>
      </c>
      <c r="D32" s="63" t="inlineStr">
        <is>
          <t>Porsi Buffet x Harga per Pax</t>
        </is>
      </c>
    </row>
    <row r="33">
      <c r="A33" s="32" t="inlineStr">
        <is>
          <t>Subtotal Biaya Food Stalls (Gubukan)</t>
        </is>
      </c>
      <c r="B33" s="55">
        <f>C17*B31</f>
        <v/>
      </c>
      <c r="C33" s="31" t="inlineStr">
        <is>
          <t>Rp</t>
        </is>
      </c>
      <c r="D33" s="63" t="inlineStr">
        <is>
          <t>Porsi Stall x Harga per Porsi</t>
        </is>
      </c>
    </row>
    <row r="34">
      <c r="A34" s="38" t="inlineStr">
        <is>
          <t>TOTAL BIAYA MAKAN</t>
        </is>
      </c>
      <c r="B34" s="74">
        <f>SUM(B32:B33)</f>
        <v/>
      </c>
      <c r="C34" s="31" t="inlineStr">
        <is>
          <t>Rp</t>
        </is>
      </c>
      <c r="D34" s="63" t="inlineStr">
        <is>
          <t>Total proyeksi belanja katering</t>
        </is>
      </c>
    </row>
    <row r="35">
      <c r="A35" s="38" t="inlineStr">
        <is>
          <t>BIAYA MAKAN PER TAMU</t>
        </is>
      </c>
      <c r="B35" s="55">
        <f>ROUND(B34/$B$12, 0)</f>
        <v/>
      </c>
      <c r="C35" s="31" t="inlineStr">
        <is>
          <t>Rp / Tamu</t>
        </is>
      </c>
      <c r="D35" s="63" t="inlineStr">
        <is>
          <t>Rasio biaya makanan per orang</t>
        </is>
      </c>
    </row>
    <row r="36"/>
    <row r="37">
      <c r="A37" s="19" t="inlineStr">
        <is>
          <t>5. KALAU TAMU LEBIH SEDIKIT / LEBIH BANYAK (3 CONTOH):</t>
        </is>
      </c>
    </row>
    <row r="38" ht="24" customHeight="1">
      <c r="A38" s="13" t="inlineStr">
        <is>
          <t>Skenario Kehadiran</t>
        </is>
      </c>
      <c r="B38" s="13" t="inlineStr">
        <is>
          <t>Faktor Multiplier</t>
        </is>
      </c>
      <c r="C38" s="13" t="inlineStr">
        <is>
          <t>Proyeksi Tamu (Pax)</t>
        </is>
      </c>
      <c r="D38" s="13" t="inlineStr">
        <is>
          <t>Estimasi Total Biaya Katering (Rp)</t>
        </is>
      </c>
      <c r="E38" s="13" t="inlineStr">
        <is>
          <t>Dampak Anggaran</t>
        </is>
      </c>
    </row>
    <row r="39">
      <c r="A39" s="38" t="inlineStr">
        <is>
          <t>Kalau tamu sedikit (80% datang)</t>
        </is>
      </c>
      <c r="B39" s="71" t="n">
        <v>0.8</v>
      </c>
      <c r="C39" s="53">
        <f>ROUND($B$12*B39, 0)</f>
        <v/>
      </c>
      <c r="D39" s="55">
        <f>ROUND(B34*B39, 0)</f>
        <v/>
      </c>
      <c r="E39" s="63" t="inlineStr">
        <is>
          <t>Hemat 20% biaya katering</t>
        </is>
      </c>
    </row>
    <row r="40">
      <c r="A40" s="38" t="inlineStr">
        <is>
          <t>Perkiraan normal (100% datang)</t>
        </is>
      </c>
      <c r="B40" s="71" t="n">
        <v>1</v>
      </c>
      <c r="C40" s="53">
        <f>$B$12</f>
        <v/>
      </c>
      <c r="D40" s="55">
        <f>B34</f>
        <v/>
      </c>
      <c r="E40" s="63" t="inlineStr">
        <is>
          <t>Sesuai kalkulasi awal</t>
        </is>
      </c>
    </row>
    <row r="41">
      <c r="A41" s="38" t="inlineStr">
        <is>
          <t>Kalau tamu membludak (120% datang)</t>
        </is>
      </c>
      <c r="B41" s="71" t="n">
        <v>1.2</v>
      </c>
      <c r="C41" s="53">
        <f>ROUND($B$12*B41, 0)</f>
        <v/>
      </c>
      <c r="D41" s="55">
        <f>ROUND(B34*B41, 0)</f>
        <v/>
      </c>
      <c r="E41" s="63" t="inlineStr">
        <is>
          <t>Perlu alokasi buffer dana darurat +20%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1" customWidth="1" min="1" max="1"/>
    <col width="21" customWidth="1" min="2" max="2"/>
    <col width="42" customWidth="1" min="3" max="3"/>
    <col width="26" customWidth="1" min="4" max="4"/>
    <col width="34" customWidth="1" min="5" max="5"/>
    <col width="19" customWidth="1" min="6" max="6"/>
    <col width="26" customWidth="1" min="7" max="7"/>
    <col width="31" customWidth="1" min="8" max="8"/>
  </cols>
  <sheetData>
    <row r="1" ht="36" customHeight="1">
      <c r="A1" s="18" t="inlineStr">
        <is>
          <t>DAFTAR BARANG YANG HARUS DISIAPKAN UNTUK HARI-H</t>
        </is>
      </c>
    </row>
    <row r="2"/>
    <row r="3">
      <c r="A3" s="44" t="inlineStr">
        <is>
          <t>TOTAL BARANG</t>
        </is>
      </c>
      <c r="B3" s="5" t="n"/>
      <c r="C3" s="45" t="inlineStr">
        <is>
          <t>BARANG SUDAH SIAP</t>
        </is>
      </c>
      <c r="D3" s="5" t="n"/>
      <c r="E3" s="75" t="inlineStr">
        <is>
          <t>BARANG BELUM SIAP</t>
        </is>
      </c>
      <c r="F3" s="5" t="n"/>
      <c r="G3" s="47" t="inlineStr">
        <is>
          <t>PERSEN BARANG SIAP (%)</t>
        </is>
      </c>
      <c r="H3" s="5" t="n"/>
    </row>
    <row r="4">
      <c r="A4" s="48">
        <f>COUNTA(C7:C14)</f>
        <v/>
      </c>
      <c r="B4" s="5" t="n"/>
      <c r="C4" s="49">
        <f>COUNTIF(F7:F14, "Siap")</f>
        <v/>
      </c>
      <c r="D4" s="5" t="n"/>
      <c r="E4" s="76">
        <f>COUNTIF(F7:F14, "Belum Siap")</f>
        <v/>
      </c>
      <c r="F4" s="5" t="n"/>
      <c r="G4" s="77">
        <f>C4/A4</f>
        <v/>
      </c>
      <c r="H4" s="5" t="n"/>
    </row>
    <row r="5"/>
    <row r="6" ht="26" customHeight="1">
      <c r="A6" s="13" t="inlineStr">
        <is>
          <t>No.</t>
        </is>
      </c>
      <c r="B6" s="13" t="inlineStr">
        <is>
          <t>Kategori Logistik</t>
        </is>
      </c>
      <c r="C6" s="13" t="inlineStr">
        <is>
          <t>Nama Item Perlengkapan</t>
        </is>
      </c>
      <c r="D6" s="13" t="inlineStr">
        <is>
          <t>Penanggung Jawab (PIC)</t>
        </is>
      </c>
      <c r="E6" s="13" t="inlineStr">
        <is>
          <t>Kuantitas / Jumlah</t>
        </is>
      </c>
      <c r="F6" s="13" t="inlineStr">
        <is>
          <t>Status Kesiapan</t>
        </is>
      </c>
      <c r="G6" s="13" t="inlineStr">
        <is>
          <t>Lokasi Penyimpanan</t>
        </is>
      </c>
      <c r="H6" s="13" t="inlineStr">
        <is>
          <t>Catatan Khusus</t>
        </is>
      </c>
    </row>
    <row r="7">
      <c r="A7" s="31" t="n">
        <v>1</v>
      </c>
      <c r="B7" s="38" t="inlineStr">
        <is>
          <t>Dokumen &amp; Uang</t>
        </is>
      </c>
      <c r="C7" s="32" t="inlineStr">
        <is>
          <t>Izin gedung &amp; surat-surat acara</t>
        </is>
      </c>
      <c r="D7" s="32" t="inlineStr">
        <is>
          <t>Ketua panitia &amp; EO</t>
        </is>
      </c>
      <c r="E7" s="31" t="inlineStr">
        <is>
          <t>1 Set</t>
        </is>
      </c>
      <c r="F7" s="31" t="inlineStr">
        <is>
          <t>Siap</t>
        </is>
      </c>
      <c r="G7" s="32" t="inlineStr">
        <is>
          <t>Tas dokumen</t>
        </is>
      </c>
      <c r="H7" s="63" t="inlineStr">
        <is>
          <t>Wajib dibawa</t>
        </is>
      </c>
    </row>
    <row r="8">
      <c r="A8" s="31" t="n">
        <v>2</v>
      </c>
      <c r="B8" s="38" t="inlineStr">
        <is>
          <t>Dokumen &amp; Uang</t>
        </is>
      </c>
      <c r="C8" s="32" t="inlineStr">
        <is>
          <t>Amplop honor vendor hari-H</t>
        </is>
      </c>
      <c r="D8" s="32" t="inlineStr">
        <is>
          <t>Bendahara</t>
        </is>
      </c>
      <c r="E8" s="31" t="inlineStr">
        <is>
          <t>5 Amplop</t>
        </is>
      </c>
      <c r="F8" s="31" t="inlineStr">
        <is>
          <t>Belum Siap</t>
        </is>
      </c>
      <c r="G8" s="32" t="inlineStr">
        <is>
          <t>Tas bendahara</t>
        </is>
      </c>
      <c r="H8" s="63" t="inlineStr">
        <is>
          <t>Diberikan setelah beres</t>
        </is>
      </c>
    </row>
    <row r="9">
      <c r="A9" s="31" t="n">
        <v>3</v>
      </c>
      <c r="B9" s="38" t="inlineStr">
        <is>
          <t>Tamu</t>
        </is>
      </c>
      <c r="C9" s="32" t="inlineStr">
        <is>
          <t>Buku tamu / tablet registrasi</t>
        </is>
      </c>
      <c r="D9" s="32" t="inlineStr">
        <is>
          <t>Panitia tamu</t>
        </is>
      </c>
      <c r="E9" s="31" t="inlineStr">
        <is>
          <t>2 Buku / 1 Tablet</t>
        </is>
      </c>
      <c r="F9" s="31" t="inlineStr">
        <is>
          <t>Siap</t>
        </is>
      </c>
      <c r="G9" s="32" t="inlineStr">
        <is>
          <t>Meja tamu</t>
        </is>
      </c>
      <c r="H9" s="63" t="inlineStr">
        <is>
          <t>Cek charger</t>
        </is>
      </c>
    </row>
    <row r="10">
      <c r="A10" s="31" t="n">
        <v>4</v>
      </c>
      <c r="B10" s="38" t="inlineStr">
        <is>
          <t>Tamu</t>
        </is>
      </c>
      <c r="C10" s="32" t="inlineStr">
        <is>
          <t>Souvenir &amp; paperbag (255 pcs)</t>
        </is>
      </c>
      <c r="D10" s="32" t="inlineStr">
        <is>
          <t>Tim souvenir</t>
        </is>
      </c>
      <c r="E10" s="31" t="inlineStr">
        <is>
          <t>255 Pcs</t>
        </is>
      </c>
      <c r="F10" s="31" t="inlineStr">
        <is>
          <t>Dalam Proses</t>
        </is>
      </c>
      <c r="G10" s="32" t="inlineStr">
        <is>
          <t>Gudang gedung</t>
        </is>
      </c>
      <c r="H10" s="63" t="inlineStr">
        <is>
          <t>Pisahkan untuk VIP</t>
        </is>
      </c>
    </row>
    <row r="11">
      <c r="A11" s="31" t="n">
        <v>5</v>
      </c>
      <c r="B11" s="38" t="inlineStr">
        <is>
          <t>Teknis</t>
        </is>
      </c>
      <c r="C11" s="32" t="inlineStr">
        <is>
          <t>Materi presentasi &amp; video di flashdisk</t>
        </is>
      </c>
      <c r="D11" s="32" t="inlineStr">
        <is>
          <t>Operator</t>
        </is>
      </c>
      <c r="E11" s="31" t="inlineStr">
        <is>
          <t>2 Flashdisk</t>
        </is>
      </c>
      <c r="F11" s="31" t="inlineStr">
        <is>
          <t>Siap</t>
        </is>
      </c>
      <c r="G11" s="32" t="inlineStr">
        <is>
          <t>Meja operator</t>
        </is>
      </c>
      <c r="H11" s="63" t="inlineStr">
        <is>
          <t>Format MP4/PPT, sudah dites</t>
        </is>
      </c>
    </row>
    <row r="12">
      <c r="A12" s="31" t="n">
        <v>6</v>
      </c>
      <c r="B12" s="38" t="inlineStr">
        <is>
          <t>Teknis</t>
        </is>
      </c>
      <c r="C12" s="32" t="inlineStr">
        <is>
          <t>Jadwal acara cetak (10 rangkap)</t>
        </is>
      </c>
      <c r="D12" s="32" t="inlineStr">
        <is>
          <t>EO lapangan</t>
        </is>
      </c>
      <c r="E12" s="31" t="inlineStr">
        <is>
          <t>10 Rangkap</t>
        </is>
      </c>
      <c r="F12" s="31" t="inlineStr">
        <is>
          <t>Siap</t>
        </is>
      </c>
      <c r="G12" s="32" t="inlineStr">
        <is>
          <t>Ruang panitia</t>
        </is>
      </c>
      <c r="H12" s="63" t="inlineStr">
        <is>
          <t>Dibagikan saat briefing</t>
        </is>
      </c>
    </row>
    <row r="13">
      <c r="A13" s="31" t="n">
        <v>7</v>
      </c>
      <c r="B13" s="38" t="inlineStr">
        <is>
          <t>Teknis</t>
        </is>
      </c>
      <c r="C13" s="32" t="inlineStr">
        <is>
          <t>Mic cadangan + baterai baru</t>
        </is>
      </c>
      <c r="D13" s="32" t="inlineStr">
        <is>
          <t>Teknisi suara</t>
        </is>
      </c>
      <c r="E13" s="31" t="inlineStr">
        <is>
          <t>4 Baterai</t>
        </is>
      </c>
      <c r="F13" s="31" t="inlineStr">
        <is>
          <t>Siap</t>
        </is>
      </c>
      <c r="G13" s="32" t="inlineStr">
        <is>
          <t>Meja suara</t>
        </is>
      </c>
      <c r="H13" s="63" t="inlineStr">
        <is>
          <t>Baterai baru segel</t>
        </is>
      </c>
    </row>
    <row r="14">
      <c r="A14" s="31" t="n">
        <v>8</v>
      </c>
      <c r="B14" s="38" t="inlineStr">
        <is>
          <t>Teknis</t>
        </is>
      </c>
      <c r="C14" s="32" t="inlineStr">
        <is>
          <t>HT panitia &amp; P3K</t>
        </is>
      </c>
      <c r="D14" s="32" t="inlineStr">
        <is>
          <t>Keamanan &amp; medis</t>
        </is>
      </c>
      <c r="E14" s="31" t="inlineStr">
        <is>
          <t>4 HT + 1 P3K</t>
        </is>
      </c>
      <c r="F14" s="31" t="inlineStr">
        <is>
          <t>Siap</t>
        </is>
      </c>
      <c r="G14" s="32" t="inlineStr">
        <is>
          <t>Pos panitia</t>
        </is>
      </c>
      <c r="H14" s="63" t="inlineStr">
        <is>
          <t>Frekuensi disamakan</t>
        </is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conditionalFormatting sqref="F7:F14">
    <cfRule type="cellIs" priority="1" operator="equal" dxfId="0">
      <formula>"Siap"</formula>
    </cfRule>
    <cfRule type="cellIs" priority="2" operator="equal" dxfId="1">
      <formula>"Belum Siap"</formula>
    </cfRule>
    <cfRule type="cellIs" priority="3" operator="equal" dxfId="2">
      <formula>"Dalam Proses"</formula>
    </cfRule>
  </conditionalFormatting>
  <dataValidations count="1">
    <dataValidation sqref="F7:F14" showDropDown="0" showInputMessage="0" showErrorMessage="0" allowBlank="1" type="list">
      <formula1>"Siap,Belum Siap,Dalam Proses,Tidak Perlu"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3" customWidth="1" min="1" max="1"/>
    <col width="42" customWidth="1" min="2" max="2"/>
    <col width="19" customWidth="1" min="3" max="3"/>
    <col width="47" customWidth="1" min="4" max="4"/>
    <col width="34" customWidth="1" min="5" max="5"/>
  </cols>
  <sheetData>
    <row r="1" ht="36" customHeight="1">
      <c r="A1" s="18" t="inlineStr">
        <is>
          <t>TABUNGAN ACARA — TARGET, TERKUMPUL &amp; RIWAYAT SETORAN</t>
        </is>
      </c>
    </row>
    <row r="2">
      <c r="A2" s="66" t="inlineStr">
        <is>
          <t>KUNING = ketik sendiri</t>
        </is>
      </c>
      <c r="B2" s="78" t="inlineStr">
        <is>
          <t>Ketik target &amp; setoran di kolom kuning</t>
        </is>
      </c>
      <c r="D2" s="67" t="inlineStr">
        <is>
          <t>Kolom hijau = total otomatis, jangan diubah</t>
        </is>
      </c>
    </row>
    <row r="3">
      <c r="A3" s="44" t="inlineStr">
        <is>
          <t>TARGET TABUNGAN</t>
        </is>
      </c>
      <c r="B3" s="5" t="n"/>
      <c r="C3" s="45" t="inlineStr">
        <is>
          <t>SUDAH TERKUMPUL</t>
        </is>
      </c>
      <c r="D3" s="5" t="n"/>
      <c r="E3" s="47" t="inlineStr">
        <is>
          <t>TERKUMPUL (%)</t>
        </is>
      </c>
    </row>
    <row r="4">
      <c r="A4" s="79" t="n">
        <v>150000000</v>
      </c>
      <c r="B4" s="5" t="n"/>
      <c r="C4" s="80">
        <f>C19</f>
        <v/>
      </c>
      <c r="D4" s="5" t="n"/>
      <c r="E4" s="77">
        <f>IF(A4=0,0,C4/A4)</f>
        <v/>
      </c>
    </row>
    <row r="5"/>
    <row r="6">
      <c r="A6" s="19" t="inlineStr">
        <is>
          <t>Nama tabungan</t>
        </is>
      </c>
      <c r="B6" s="27" t="inlineStr">
        <is>
          <t>Tabungan Gala Dinner</t>
        </is>
      </c>
    </row>
    <row r="7">
      <c r="A7" s="19" t="inlineStr">
        <is>
          <t>Target tanggal</t>
        </is>
      </c>
      <c r="B7" s="27" t="inlineStr">
        <is>
          <t>2026-11-01</t>
        </is>
      </c>
    </row>
    <row r="8">
      <c r="A8" s="19" t="inlineStr">
        <is>
          <t>Sisa yang belum terkumpul</t>
        </is>
      </c>
      <c r="B8" s="81">
        <f>A4-C4</f>
        <v/>
      </c>
    </row>
    <row r="9"/>
    <row r="10">
      <c r="A10" s="19" t="inlineStr">
        <is>
          <t>RIWAYAT SETORAN — ketik setoran baru di baris kuning kosong</t>
        </is>
      </c>
    </row>
    <row r="11" ht="24" customHeight="1">
      <c r="A11" s="13" t="inlineStr">
        <is>
          <t>No.</t>
        </is>
      </c>
      <c r="B11" s="13" t="inlineStr">
        <is>
          <t>Tanggal</t>
        </is>
      </c>
      <c r="C11" s="13" t="inlineStr">
        <is>
          <t>Jumlah (Rp)</t>
        </is>
      </c>
      <c r="D11" s="13" t="inlineStr">
        <is>
          <t>Catatan</t>
        </is>
      </c>
      <c r="E11" s="13" t="inlineStr">
        <is>
          <t>Cara Bayar</t>
        </is>
      </c>
    </row>
    <row r="12">
      <c r="A12" s="31" t="n">
        <v>1</v>
      </c>
      <c r="B12" s="31" t="inlineStr">
        <is>
          <t>10 Sep 2026</t>
        </is>
      </c>
      <c r="C12" s="82" t="n">
        <v>18750000</v>
      </c>
      <c r="D12" s="83" t="inlineStr">
        <is>
          <t>Setoran 1</t>
        </is>
      </c>
      <c r="E12" s="32" t="inlineStr">
        <is>
          <t>Virtual Account (Escrow Vault)</t>
        </is>
      </c>
    </row>
    <row r="13">
      <c r="A13" s="31" t="n">
        <v>2</v>
      </c>
      <c r="B13" s="31" t="inlineStr">
        <is>
          <t>10 Sep 2026</t>
        </is>
      </c>
      <c r="C13" s="82" t="n">
        <v>18750000</v>
      </c>
      <c r="D13" s="83" t="inlineStr">
        <is>
          <t>Setoran 2</t>
        </is>
      </c>
      <c r="E13" s="32" t="inlineStr">
        <is>
          <t>Virtual Account (Escrow Vault)</t>
        </is>
      </c>
    </row>
    <row r="14">
      <c r="A14" s="84" t="n">
        <v>3</v>
      </c>
      <c r="B14" s="84" t="inlineStr"/>
      <c r="C14" s="82" t="inlineStr"/>
      <c r="D14" s="83" t="inlineStr"/>
      <c r="E14" s="83" t="inlineStr"/>
    </row>
    <row r="15">
      <c r="A15" s="84" t="n">
        <v>4</v>
      </c>
      <c r="B15" s="84" t="inlineStr"/>
      <c r="C15" s="82" t="inlineStr"/>
      <c r="D15" s="83" t="inlineStr"/>
      <c r="E15" s="83" t="inlineStr"/>
    </row>
    <row r="16">
      <c r="A16" s="84" t="n">
        <v>5</v>
      </c>
      <c r="B16" s="84" t="inlineStr"/>
      <c r="C16" s="82" t="inlineStr"/>
      <c r="D16" s="83" t="inlineStr"/>
      <c r="E16" s="83" t="inlineStr"/>
    </row>
    <row r="17">
      <c r="A17" s="84" t="n">
        <v>6</v>
      </c>
      <c r="B17" s="84" t="inlineStr"/>
      <c r="C17" s="82" t="inlineStr"/>
      <c r="D17" s="83" t="inlineStr"/>
      <c r="E17" s="83" t="inlineStr"/>
    </row>
    <row r="18">
      <c r="A18" s="84" t="n">
        <v>7</v>
      </c>
      <c r="B18" s="84" t="inlineStr"/>
      <c r="C18" s="82" t="inlineStr"/>
      <c r="D18" s="83" t="inlineStr"/>
      <c r="E18" s="83" t="inlineStr"/>
    </row>
    <row r="19">
      <c r="A19" s="85" t="inlineStr"/>
      <c r="B19" s="40" t="inlineStr">
        <is>
          <t>TOTAL OTOMATIS</t>
        </is>
      </c>
      <c r="C19" s="74">
        <f>SUM(C12:C18)</f>
        <v/>
      </c>
      <c r="D19" s="86" t="n"/>
      <c r="E19" s="86" t="n"/>
    </row>
  </sheetData>
  <mergeCells count="7">
    <mergeCell ref="A4:B4"/>
    <mergeCell ref="B2:C2"/>
    <mergeCell ref="D2:E2"/>
    <mergeCell ref="A1:E1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Muhamad Ghofur</dc:creator>
  <dc:title>Vendoraman Master Planner - Gala Dinner Perusahaan ABC</dc:title>
  <dc:description>Dibuat dan dimiliki oleh Adrian Muhamad Ghofur. Dilarang menggandakan atau menjual ulang tanpa izin tertulis.</dc:description>
  <dc:subject>Template perencana acara (Corporate Gathering &amp; Gala)</dc:subject>
  <dcterms:created xsi:type="dcterms:W3CDTF">2026-09-10T10:58:22Z</dcterms:created>
  <dcterms:modified xsi:type="dcterms:W3CDTF">2026-09-10T03:58:22Z</dcterms:modified>
  <cp:lastModifiedBy>Adrian Muhamad Ghofur</cp:lastModifiedBy>
  <cp:category>Event Planner Template</cp:category>
  <cp:keywords>Vendoraman, event planner, Adrian Muhamad Ghofur</cp:keywords>
</cp:coreProperties>
</file>